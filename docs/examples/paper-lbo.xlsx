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nputs" state="visible" r:id="rId5"/>
    <sheet sheetId="3" name="Historical" state="visible" r:id="rId6"/>
    <sheet sheetId="4" name="Sources &amp; uses" state="visible" r:id="rId7"/>
    <sheet sheetId="5" name="Projection" state="visible" r:id="rId8"/>
    <sheet sheetId="6" name="Returns" state="visible" r:id="rId9"/>
    <sheet sheetId="7" name="Sensitivity" state="visible" r:id="rId10"/>
    <sheet sheetId="8" name="Evidence" state="visible" r:id="rId11"/>
  </sheets>
  <calcPr calcId="171027" fullCalcOnLoad="1"/>
</workbook>
</file>

<file path=xl/sharedStrings.xml><?xml version="1.0" encoding="utf-8"?>
<sst xmlns="http://schemas.openxmlformats.org/spreadsheetml/2006/main" count="400" uniqueCount="120">
  <si>
    <t>Paper LBO: independent reference</t>
  </si>
  <si>
    <t>FICTIONAL DEMONSTRATION DATA. NOT AN EXCHANGE FILING.</t>
  </si>
  <si>
    <t>Units</t>
  </si>
  <si>
    <t>All monetary values in INR crore. Shares are absolute units.</t>
  </si>
  <si>
    <t>How to use</t>
  </si>
  <si>
    <t>Edit Inputs, then recalculate in Excel. Ten forecast years support hold periods 1 to 10.</t>
  </si>
  <si>
    <t>Economics</t>
  </si>
  <si>
    <t>Opening debt interest; mandatory repayment then cash sweep; no interim dividends.</t>
  </si>
  <si>
    <t>Risk</t>
  </si>
  <si>
    <t>Funding shortfalls invalidate returns. No assumption is a financing offer.</t>
  </si>
  <si>
    <t>Sensitivity</t>
  </si>
  <si>
    <t>Current scenario snapshots. Re-export after changing browser assumptions.</t>
  </si>
  <si>
    <t>Caveats</t>
  </si>
  <si>
    <t>Revenue denominator used for inventory/payable days. Tax rate is an editable scenario.</t>
  </si>
  <si>
    <t>Editable assumptions</t>
  </si>
  <si>
    <t>Amounts in INR crore</t>
  </si>
  <si>
    <t>Rates are decimal percentages</t>
  </si>
  <si>
    <t>Entry multiple</t>
  </si>
  <si>
    <t>Exit multiple</t>
  </si>
  <si>
    <t>Leverage cap</t>
  </si>
  <si>
    <t>Interest rate</t>
  </si>
  <si>
    <t>Tax rate</t>
  </si>
  <si>
    <t>Cash sweep</t>
  </si>
  <si>
    <t>Hold years</t>
  </si>
  <si>
    <t>Transaction fees</t>
  </si>
  <si>
    <t>Revenue growth</t>
  </si>
  <si>
    <t>Total margin expansion</t>
  </si>
  <si>
    <t>Capex / revenue</t>
  </si>
  <si>
    <t>Depreciation / revenue</t>
  </si>
  <si>
    <t>Working capital / revenue</t>
  </si>
  <si>
    <t>Mandatory amortization</t>
  </si>
  <si>
    <t>Interest cover floor</t>
  </si>
  <si>
    <t>Hurdle IRR</t>
  </si>
  <si>
    <t>Base financials</t>
  </si>
  <si>
    <t>Source: Historical and Evidence</t>
  </si>
  <si>
    <t>Normalized entry EBITDA</t>
  </si>
  <si>
    <t>Base revenue</t>
  </si>
  <si>
    <t>Existing debt</t>
  </si>
  <si>
    <t>Existing cash</t>
  </si>
  <si>
    <t>Base year</t>
  </si>
  <si>
    <t>Historical financials</t>
  </si>
  <si>
    <t>INR crore</t>
  </si>
  <si>
    <t>Financial year</t>
  </si>
  <si>
    <t>revenue</t>
  </si>
  <si>
    <t>ebitda</t>
  </si>
  <si>
    <t>depreciation</t>
  </si>
  <si>
    <t>interest</t>
  </si>
  <si>
    <t>taxPaid</t>
  </si>
  <si>
    <t>pat</t>
  </si>
  <si>
    <t>receivables</t>
  </si>
  <si>
    <t>inventory</t>
  </si>
  <si>
    <t>payables</t>
  </si>
  <si>
    <t>capex</t>
  </si>
  <si>
    <t>cash</t>
  </si>
  <si>
    <t>debt</t>
  </si>
  <si>
    <t>equity</t>
  </si>
  <si>
    <t>shares</t>
  </si>
  <si>
    <t>Transaction funding</t>
  </si>
  <si>
    <t>No double-counting target cash</t>
  </si>
  <si>
    <t>Existing debt fully refinanced</t>
  </si>
  <si>
    <t>Entry enterprise value</t>
  </si>
  <si>
    <t>New debt</t>
  </si>
  <si>
    <t>Purchase equity</t>
  </si>
  <si>
    <t>Refinanced existing debt</t>
  </si>
  <si>
    <t>Target cash funding</t>
  </si>
  <si>
    <t>Total uses</t>
  </si>
  <si>
    <t>Sponsor equity</t>
  </si>
  <si>
    <t>Sources less uses</t>
  </si>
  <si>
    <t>Cash and debt schedule</t>
  </si>
  <si>
    <t>All ten years recalculate; hold selects the exit year</t>
  </si>
  <si>
    <t>Revenue</t>
  </si>
  <si>
    <t>EBITDA</t>
  </si>
  <si>
    <t>Depreciation</t>
  </si>
  <si>
    <t>Opening debt</t>
  </si>
  <si>
    <t>Cash interest</t>
  </si>
  <si>
    <t>Cash tax</t>
  </si>
  <si>
    <t>Capex</t>
  </si>
  <si>
    <t>Increase in working capital</t>
  </si>
  <si>
    <t>Free cash flow after interest</t>
  </si>
  <si>
    <t>Mandatory repayment</t>
  </si>
  <si>
    <t>Closing debt</t>
  </si>
  <si>
    <t>Opening cash</t>
  </si>
  <si>
    <t>Funding shortfall</t>
  </si>
  <si>
    <t>Closing cash</t>
  </si>
  <si>
    <t>Interest coverage</t>
  </si>
  <si>
    <t>Sponsor returns</t>
  </si>
  <si>
    <t>Exit selected by hold years</t>
  </si>
  <si>
    <t>Unfunded models have no investment return</t>
  </si>
  <si>
    <t>Exit EBITDA</t>
  </si>
  <si>
    <t>Exit enterprise value</t>
  </si>
  <si>
    <t>Exit debt</t>
  </si>
  <si>
    <t>Exit cash</t>
  </si>
  <si>
    <t>Exit equity</t>
  </si>
  <si>
    <t>Sponsor IRR</t>
  </si>
  <si>
    <t>MOIC</t>
  </si>
  <si>
    <t>EBITDA growth contribution</t>
  </si>
  <si>
    <t>Multiple contribution</t>
  </si>
  <si>
    <t>Net debt reduction</t>
  </si>
  <si>
    <t>Fees contribution</t>
  </si>
  <si>
    <t>Total funding shortfall</t>
  </si>
  <si>
    <t>Bridge reconciliation</t>
  </si>
  <si>
    <t>Limited liability floor</t>
  </si>
  <si>
    <t>Entry vs exit multiple</t>
  </si>
  <si>
    <t>IRR snapshots at export assumptions</t>
  </si>
  <si>
    <t>Entry / exit</t>
  </si>
  <si>
    <t>Field-level evidence</t>
  </si>
  <si>
    <t>demo</t>
  </si>
  <si>
    <t>Field</t>
  </si>
  <si>
    <t>Year</t>
  </si>
  <si>
    <t>Filing</t>
  </si>
  <si>
    <t>Page</t>
  </si>
  <si>
    <t>Source</t>
  </si>
  <si>
    <t>Kind</t>
  </si>
  <si>
    <t>paper-2022</t>
  </si>
  <si>
    <t>/methodology</t>
  </si>
  <si>
    <t>paper-2023</t>
  </si>
  <si>
    <t>paper-2024</t>
  </si>
  <si>
    <t>paper-2025</t>
  </si>
  <si>
    <t>paper-2026</t>
  </si>
  <si>
    <t>Accepted normalization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</si>
</sst>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[Red](#,##0.00);&quot;-&quot;"/>
    <numFmt numFmtId="165" formatCode="0.0%"/>
  </numFmts>
  <fonts count="4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color rgb="FF234638"/>
      <sz val="11"/>
      <name val="Calibri"/>
    </font>
    <font>
      <color rgb="FF3159A5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34638"/>
      </patternFill>
    </fill>
    <fill>
      <patternFill patternType="solid">
        <fgColor rgb="FFF0F5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3" fillId="3" borderId="0" xfId="0" applyNumberFormat="1" applyFont="1" applyFill="1" applyAlignment="1">
      <alignment vertical="center"/>
    </xf>
    <xf numFmtId="165" fontId="3" fillId="3" borderId="0" xfId="0" applyNumberFormat="1" applyFont="1" applyFill="1" applyAlignment="1">
      <alignment vertical="center"/>
    </xf>
    <xf numFmtId="165" fontId="3" fillId="0" borderId="0" xfId="0" applyNumberFormat="1" applyFont="1" applyAlignment="1">
      <alignment vertical="center"/>
    </xf>
    <xf numFmtId="164" fontId="2" fillId="3" borderId="0" xfId="0" applyNumberFormat="1" applyFont="1" applyFill="1" applyAlignment="1">
      <alignment vertical="center"/>
    </xf>
    <xf numFmtId="164" fontId="2" fillId="0" borderId="0" xfId="0" applyNumberFormat="1" applyFont="1" applyAlignment="1">
      <alignment vertical="center"/>
    </xf>
    <xf numFmtId="165" fontId="2" fillId="3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8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2" width="100" customWidth="1"/>
    <col min="3" max="7" width="18" customWidth="1"/>
  </cols>
  <sheetData>
    <row r="1" ht="31" customHeight="1" spans="1:1" x14ac:dyDescent="0.25">
      <c r="A1" s="1" t="s">
        <v>0</v>
      </c>
    </row>
    <row r="2" ht="23" customHeight="1" spans="1:1" x14ac:dyDescent="0.25">
      <c r="A2" s="2" t="s">
        <v>1</v>
      </c>
    </row>
    <row r="3" ht="23" customHeight="1" spans="1:2" x14ac:dyDescent="0.25">
      <c r="A3" s="3" t="s">
        <v>2</v>
      </c>
      <c r="B3" s="3" t="s">
        <v>3</v>
      </c>
    </row>
    <row r="4" ht="23" customHeight="1" spans="1:2" x14ac:dyDescent="0.25">
      <c r="A4" s="2" t="s">
        <v>4</v>
      </c>
      <c r="B4" s="2" t="s">
        <v>5</v>
      </c>
    </row>
    <row r="5" ht="23" customHeight="1" spans="1:2" x14ac:dyDescent="0.25">
      <c r="A5" s="3" t="s">
        <v>6</v>
      </c>
      <c r="B5" s="3" t="s">
        <v>7</v>
      </c>
    </row>
    <row r="6" ht="23" customHeight="1" spans="1:2" x14ac:dyDescent="0.25">
      <c r="A6" s="2" t="s">
        <v>8</v>
      </c>
      <c r="B6" s="2" t="s">
        <v>9</v>
      </c>
    </row>
    <row r="7" ht="23" customHeight="1" spans="1:2" x14ac:dyDescent="0.25">
      <c r="A7" s="3" t="s">
        <v>10</v>
      </c>
      <c r="B7" s="3" t="s">
        <v>11</v>
      </c>
    </row>
    <row r="8" ht="23" customHeight="1" spans="1:2" x14ac:dyDescent="0.25">
      <c r="A8" s="2" t="s">
        <v>12</v>
      </c>
      <c r="B8" s="2" t="s">
        <v>13</v>
      </c>
    </row>
  </sheetData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4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7" width="18" customWidth="1"/>
  </cols>
  <sheetData>
    <row r="1" ht="31" customHeight="1" spans="1:2" x14ac:dyDescent="0.25">
      <c r="A1" s="1" t="s">
        <v>14</v>
      </c>
      <c r="B1" s="1" t="s">
        <v>0</v>
      </c>
    </row>
    <row r="2" ht="23" customHeight="1" spans="1:2" x14ac:dyDescent="0.25">
      <c r="A2" s="2" t="s">
        <v>15</v>
      </c>
      <c r="B2" s="2" t="s">
        <v>16</v>
      </c>
    </row>
    <row r="3" ht="23" customHeight="1" spans="1:2" x14ac:dyDescent="0.25">
      <c r="A3" s="3" t="s">
        <v>17</v>
      </c>
      <c r="B3" s="4">
        <v>8</v>
      </c>
    </row>
    <row r="4" ht="23" customHeight="1" spans="1:2" x14ac:dyDescent="0.25">
      <c r="A4" s="2" t="s">
        <v>18</v>
      </c>
      <c r="B4" s="5">
        <v>8</v>
      </c>
    </row>
    <row r="5" ht="23" customHeight="1" spans="1:2" x14ac:dyDescent="0.25">
      <c r="A5" s="3" t="s">
        <v>19</v>
      </c>
      <c r="B5" s="4">
        <v>0</v>
      </c>
    </row>
    <row r="6" ht="23" customHeight="1" spans="1:2" x14ac:dyDescent="0.25">
      <c r="A6" s="2" t="s">
        <v>20</v>
      </c>
      <c r="B6" s="6">
        <v>0.11</v>
      </c>
    </row>
    <row r="7" ht="23" customHeight="1" spans="1:2" x14ac:dyDescent="0.25">
      <c r="A7" s="3" t="s">
        <v>21</v>
      </c>
      <c r="B7" s="7">
        <v>0</v>
      </c>
    </row>
    <row r="8" ht="23" customHeight="1" spans="1:2" x14ac:dyDescent="0.25">
      <c r="A8" s="2" t="s">
        <v>22</v>
      </c>
      <c r="B8" s="6">
        <v>0.75</v>
      </c>
    </row>
    <row r="9" ht="23" customHeight="1" spans="1:2" x14ac:dyDescent="0.25">
      <c r="A9" s="3" t="s">
        <v>23</v>
      </c>
      <c r="B9" s="4">
        <v>5</v>
      </c>
    </row>
    <row r="10" ht="23" customHeight="1" spans="1:2" x14ac:dyDescent="0.25">
      <c r="A10" s="2" t="s">
        <v>24</v>
      </c>
      <c r="B10" s="6">
        <v>0</v>
      </c>
    </row>
    <row r="11" ht="23" customHeight="1" spans="1:2" x14ac:dyDescent="0.25">
      <c r="A11" s="3" t="s">
        <v>25</v>
      </c>
      <c r="B11" s="7">
        <v>0</v>
      </c>
    </row>
    <row r="12" ht="23" customHeight="1" spans="1:2" x14ac:dyDescent="0.25">
      <c r="A12" s="2" t="s">
        <v>26</v>
      </c>
      <c r="B12" s="6">
        <v>0</v>
      </c>
    </row>
    <row r="13" ht="23" customHeight="1" spans="1:2" x14ac:dyDescent="0.25">
      <c r="A13" s="3" t="s">
        <v>27</v>
      </c>
      <c r="B13" s="7">
        <v>0</v>
      </c>
    </row>
    <row r="14" ht="23" customHeight="1" spans="1:2" x14ac:dyDescent="0.25">
      <c r="A14" s="2" t="s">
        <v>28</v>
      </c>
      <c r="B14" s="6">
        <v>0.025</v>
      </c>
    </row>
    <row r="15" ht="23" customHeight="1" spans="1:2" x14ac:dyDescent="0.25">
      <c r="A15" s="3" t="s">
        <v>29</v>
      </c>
      <c r="B15" s="7">
        <v>0</v>
      </c>
    </row>
    <row r="16" ht="23" customHeight="1" spans="1:2" x14ac:dyDescent="0.25">
      <c r="A16" s="2" t="s">
        <v>30</v>
      </c>
      <c r="B16" s="6">
        <v>0.05</v>
      </c>
    </row>
    <row r="17" ht="23" customHeight="1" spans="1:2" x14ac:dyDescent="0.25">
      <c r="A17" s="3" t="s">
        <v>31</v>
      </c>
      <c r="B17" s="4">
        <v>2.5</v>
      </c>
    </row>
    <row r="18" ht="23" customHeight="1" spans="1:2" x14ac:dyDescent="0.25">
      <c r="A18" s="2" t="s">
        <v>32</v>
      </c>
      <c r="B18" s="6">
        <v>0.2</v>
      </c>
    </row>
    <row r="19" ht="23" customHeight="1" spans="1:2" x14ac:dyDescent="0.25">
      <c r="A19" s="3" t="s">
        <v>33</v>
      </c>
      <c r="B19" s="3" t="s">
        <v>34</v>
      </c>
    </row>
    <row r="20" ht="23" customHeight="1" spans="1:2" x14ac:dyDescent="0.25">
      <c r="A20" s="2" t="s">
        <v>35</v>
      </c>
      <c r="B20" s="8">
        <f>Historical!F4+SUM(Historical!F19:F35)</f>
        <v>200</v>
      </c>
    </row>
    <row r="21" ht="23" customHeight="1" spans="1:2" x14ac:dyDescent="0.25">
      <c r="A21" s="3" t="s">
        <v>36</v>
      </c>
      <c r="B21" s="9">
        <f>Historical!F3</f>
        <v>1000</v>
      </c>
    </row>
    <row r="22" ht="23" customHeight="1" spans="1:2" x14ac:dyDescent="0.25">
      <c r="A22" s="2" t="s">
        <v>37</v>
      </c>
      <c r="B22" s="8">
        <f>Historical!F16</f>
        <v>100</v>
      </c>
    </row>
    <row r="23" ht="23" customHeight="1" spans="1:2" x14ac:dyDescent="0.25">
      <c r="A23" s="3" t="s">
        <v>38</v>
      </c>
      <c r="B23" s="9">
        <f>Historical!F15</f>
        <v>50</v>
      </c>
    </row>
    <row r="24" ht="23" customHeight="1" spans="1:2" x14ac:dyDescent="0.25">
      <c r="A24" s="2" t="s">
        <v>39</v>
      </c>
      <c r="B24" s="8">
        <v>2026</v>
      </c>
    </row>
  </sheetData>
  <dataValidations count="9">
    <dataValidation type="decimal" showErrorMessage="1" errorTitle="Invalid assumption" error="Use a value in the permitted range." sqref="B10">
      <formula1>0</formula1>
      <formula2>1</formula2>
    </dataValidation>
    <dataValidation type="decimal" showErrorMessage="1" errorTitle="Invalid assumption" error="Use a value in the permitted range." sqref="B11">
      <formula1>-0.99</formula1>
      <formula2>1</formula2>
    </dataValidation>
    <dataValidation type="decimal" showErrorMessage="1" errorTitle="Invalid assumption" error="Use a value in the permitted range." sqref="B12:B16">
      <formula1>0</formula1>
      <formula2>1</formula2>
    </dataValidation>
    <dataValidation type="decimal" showErrorMessage="1" errorTitle="Invalid assumption" error="Use a value in the permitted range." sqref="B17">
      <formula1>0</formula1>
      <formula2>20</formula2>
    </dataValidation>
    <dataValidation type="decimal" showErrorMessage="1" errorTitle="Invalid assumption" error="Use a value in the permitted range." sqref="B18">
      <formula1>0</formula1>
      <formula2>2</formula2>
    </dataValidation>
    <dataValidation type="decimal" showErrorMessage="1" errorTitle="Invalid assumption" error="Use a value in the permitted range." sqref="B3:B4">
      <formula1>0</formula1>
      <formula2>30</formula2>
    </dataValidation>
    <dataValidation type="decimal" showErrorMessage="1" errorTitle="Invalid assumption" error="Use a value in the permitted range." sqref="B5">
      <formula1>0</formula1>
      <formula2>10</formula2>
    </dataValidation>
    <dataValidation type="decimal" showErrorMessage="1" errorTitle="Invalid assumption" error="Use a value in the permitted range." sqref="B6:B8">
      <formula1>0</formula1>
      <formula2>1</formula2>
    </dataValidation>
    <dataValidation type="whole" showErrorMessage="1" error="Hold must be a whole year from 1 to 10" sqref="B9">
      <formula1>1</formula1>
      <formula2>10</formula2>
    </dataValidation>
  </dataValidation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7" width="18" customWidth="1"/>
  </cols>
  <sheetData>
    <row r="1" ht="31" customHeight="1" spans="1:2" x14ac:dyDescent="0.25">
      <c r="A1" s="1" t="s">
        <v>40</v>
      </c>
      <c r="B1" s="1" t="s">
        <v>41</v>
      </c>
    </row>
    <row r="2" ht="23" customHeight="1" spans="1:6" x14ac:dyDescent="0.25">
      <c r="A2" s="2" t="s">
        <v>42</v>
      </c>
      <c r="B2" s="8">
        <v>2022</v>
      </c>
      <c r="C2" s="8">
        <v>2023</v>
      </c>
      <c r="D2" s="8">
        <v>2024</v>
      </c>
      <c r="E2" s="8">
        <v>2025</v>
      </c>
      <c r="F2" s="8">
        <v>2026</v>
      </c>
    </row>
    <row r="3" ht="23" customHeight="1" spans="1:6" x14ac:dyDescent="0.25">
      <c r="A3" s="3" t="s">
        <v>43</v>
      </c>
      <c r="B3" s="9">
        <v>1000</v>
      </c>
      <c r="C3" s="9">
        <v>1000</v>
      </c>
      <c r="D3" s="9">
        <v>1000</v>
      </c>
      <c r="E3" s="9">
        <v>1000</v>
      </c>
      <c r="F3" s="9">
        <v>1000</v>
      </c>
    </row>
    <row r="4" ht="23" customHeight="1" spans="1:6" x14ac:dyDescent="0.25">
      <c r="A4" s="2" t="s">
        <v>44</v>
      </c>
      <c r="B4" s="8">
        <v>200</v>
      </c>
      <c r="C4" s="8">
        <v>200</v>
      </c>
      <c r="D4" s="8">
        <v>200</v>
      </c>
      <c r="E4" s="8">
        <v>200</v>
      </c>
      <c r="F4" s="8">
        <v>200</v>
      </c>
    </row>
    <row r="5" ht="23" customHeight="1" spans="1:6" x14ac:dyDescent="0.25">
      <c r="A5" s="3" t="s">
        <v>45</v>
      </c>
      <c r="B5" s="9">
        <v>25</v>
      </c>
      <c r="C5" s="9">
        <v>25</v>
      </c>
      <c r="D5" s="9">
        <v>25</v>
      </c>
      <c r="E5" s="9">
        <v>25</v>
      </c>
      <c r="F5" s="9">
        <v>25</v>
      </c>
    </row>
    <row r="6" ht="23" customHeight="1" spans="1:6" x14ac:dyDescent="0.25">
      <c r="A6" s="2" t="s">
        <v>46</v>
      </c>
      <c r="B6" s="8">
        <v>12</v>
      </c>
      <c r="C6" s="8">
        <v>12</v>
      </c>
      <c r="D6" s="8">
        <v>12</v>
      </c>
      <c r="E6" s="8">
        <v>12</v>
      </c>
      <c r="F6" s="8">
        <v>12</v>
      </c>
    </row>
    <row r="7" ht="23" customHeight="1" spans="1:6" x14ac:dyDescent="0.25">
      <c r="A7" s="3" t="s">
        <v>47</v>
      </c>
      <c r="B7" s="9">
        <v>40</v>
      </c>
      <c r="C7" s="9">
        <v>40</v>
      </c>
      <c r="D7" s="9">
        <v>40</v>
      </c>
      <c r="E7" s="9">
        <v>40</v>
      </c>
      <c r="F7" s="9">
        <v>40</v>
      </c>
    </row>
    <row r="8" ht="23" customHeight="1" spans="1:6" x14ac:dyDescent="0.25">
      <c r="A8" s="2" t="s">
        <v>48</v>
      </c>
      <c r="B8" s="8">
        <v>123</v>
      </c>
      <c r="C8" s="8">
        <v>123</v>
      </c>
      <c r="D8" s="8">
        <v>123</v>
      </c>
      <c r="E8" s="8">
        <v>123</v>
      </c>
      <c r="F8" s="8">
        <v>123</v>
      </c>
    </row>
    <row r="9" ht="23" customHeight="1" spans="1:6" x14ac:dyDescent="0.25">
      <c r="A9" s="3" t="s">
        <v>49</v>
      </c>
      <c r="B9" s="9">
        <v>120</v>
      </c>
      <c r="C9" s="9">
        <v>120</v>
      </c>
      <c r="D9" s="9">
        <v>120</v>
      </c>
      <c r="E9" s="9">
        <v>120</v>
      </c>
      <c r="F9" s="9">
        <v>120</v>
      </c>
    </row>
    <row r="10" ht="23" customHeight="1" spans="1:6" x14ac:dyDescent="0.25">
      <c r="A10" s="2" t="s">
        <v>50</v>
      </c>
      <c r="B10" s="8">
        <v>130</v>
      </c>
      <c r="C10" s="8">
        <v>130</v>
      </c>
      <c r="D10" s="8">
        <v>130</v>
      </c>
      <c r="E10" s="8">
        <v>130</v>
      </c>
      <c r="F10" s="8">
        <v>130</v>
      </c>
    </row>
    <row r="11" ht="23" customHeight="1" spans="1:6" x14ac:dyDescent="0.25">
      <c r="A11" s="3" t="s">
        <v>51</v>
      </c>
      <c r="B11" s="9">
        <v>70</v>
      </c>
      <c r="C11" s="9">
        <v>70</v>
      </c>
      <c r="D11" s="9">
        <v>70</v>
      </c>
      <c r="E11" s="9">
        <v>70</v>
      </c>
      <c r="F11" s="9">
        <v>70</v>
      </c>
    </row>
    <row r="12" ht="23" customHeight="1" spans="1:6" x14ac:dyDescent="0.25">
      <c r="A12" s="2" t="s">
        <v>52</v>
      </c>
      <c r="B12" s="8">
        <v>40</v>
      </c>
      <c r="C12" s="8">
        <v>40</v>
      </c>
      <c r="D12" s="8">
        <v>40</v>
      </c>
      <c r="E12" s="8">
        <v>40</v>
      </c>
      <c r="F12" s="8">
        <v>40</v>
      </c>
    </row>
    <row r="15" ht="23" customHeight="1" spans="1:6" x14ac:dyDescent="0.25">
      <c r="A15" s="3" t="s">
        <v>53</v>
      </c>
      <c r="B15" s="9">
        <v>50</v>
      </c>
      <c r="C15" s="9">
        <v>50</v>
      </c>
      <c r="D15" s="9">
        <v>50</v>
      </c>
      <c r="E15" s="9">
        <v>50</v>
      </c>
      <c r="F15" s="9">
        <v>50</v>
      </c>
    </row>
    <row r="16" ht="23" customHeight="1" spans="1:6" x14ac:dyDescent="0.25">
      <c r="A16" s="2" t="s">
        <v>54</v>
      </c>
      <c r="B16" s="8">
        <v>100</v>
      </c>
      <c r="C16" s="8">
        <v>100</v>
      </c>
      <c r="D16" s="8">
        <v>100</v>
      </c>
      <c r="E16" s="8">
        <v>100</v>
      </c>
      <c r="F16" s="8">
        <v>100</v>
      </c>
    </row>
    <row r="17" ht="23" customHeight="1" spans="1:6" x14ac:dyDescent="0.25">
      <c r="A17" s="3" t="s">
        <v>55</v>
      </c>
      <c r="B17" s="9">
        <v>500</v>
      </c>
      <c r="C17" s="9">
        <v>500</v>
      </c>
      <c r="D17" s="9">
        <v>500</v>
      </c>
      <c r="E17" s="9">
        <v>500</v>
      </c>
      <c r="F17" s="9">
        <v>500</v>
      </c>
    </row>
    <row r="18" ht="23" customHeight="1" spans="1:6" x14ac:dyDescent="0.25">
      <c r="A18" s="2" t="s">
        <v>56</v>
      </c>
      <c r="B18" s="8">
        <v>100000000</v>
      </c>
      <c r="C18" s="8">
        <v>100000000</v>
      </c>
      <c r="D18" s="8">
        <v>100000000</v>
      </c>
      <c r="E18" s="8">
        <v>100000000</v>
      </c>
      <c r="F18" s="8">
        <v>100000000</v>
      </c>
    </row>
  </sheetData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1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7" width="18" customWidth="1"/>
  </cols>
  <sheetData>
    <row r="1" ht="31" customHeight="1" spans="1:2" x14ac:dyDescent="0.25">
      <c r="A1" s="1" t="s">
        <v>57</v>
      </c>
      <c r="B1" s="1" t="s">
        <v>41</v>
      </c>
    </row>
    <row r="2" ht="23" customHeight="1" spans="1:2" x14ac:dyDescent="0.25">
      <c r="A2" s="2" t="s">
        <v>58</v>
      </c>
      <c r="B2" s="2" t="s">
        <v>59</v>
      </c>
    </row>
    <row r="3" ht="23" customHeight="1" spans="1:2" x14ac:dyDescent="0.25">
      <c r="A3" s="3" t="s">
        <v>60</v>
      </c>
      <c r="B3" s="9">
        <f>Inputs!B20*Inputs!B3</f>
        <v>1600</v>
      </c>
    </row>
    <row r="4" ht="23" customHeight="1" spans="1:2" x14ac:dyDescent="0.25">
      <c r="A4" s="2" t="s">
        <v>24</v>
      </c>
      <c r="B4" s="8">
        <f>B3*Inputs!B10</f>
        <v>0</v>
      </c>
    </row>
    <row r="5" ht="23" customHeight="1" spans="1:2" x14ac:dyDescent="0.25">
      <c r="A5" s="3" t="s">
        <v>61</v>
      </c>
      <c r="B5" s="9">
        <f>MIN(Inputs!B20*Inputs!B5,Inputs!B20/(Inputs!B6*Inputs!B17))</f>
        <v>0</v>
      </c>
    </row>
    <row r="6" ht="23" customHeight="1" spans="1:2" x14ac:dyDescent="0.25">
      <c r="A6" s="2" t="s">
        <v>62</v>
      </c>
      <c r="B6" s="8">
        <f>B3-Inputs!B22+Inputs!B23</f>
        <v>1550</v>
      </c>
    </row>
    <row r="7" ht="23" customHeight="1" spans="1:2" x14ac:dyDescent="0.25">
      <c r="A7" s="3" t="s">
        <v>63</v>
      </c>
      <c r="B7" s="9">
        <f>Inputs!B22</f>
        <v>100</v>
      </c>
    </row>
    <row r="8" ht="23" customHeight="1" spans="1:2" x14ac:dyDescent="0.25">
      <c r="A8" s="2" t="s">
        <v>64</v>
      </c>
      <c r="B8" s="8">
        <f>Inputs!B23</f>
        <v>50</v>
      </c>
    </row>
    <row r="9" ht="23" customHeight="1" spans="1:2" x14ac:dyDescent="0.25">
      <c r="A9" s="3" t="s">
        <v>65</v>
      </c>
      <c r="B9" s="9">
        <f>B6+B7+B4</f>
        <v>1650</v>
      </c>
    </row>
    <row r="10" ht="23" customHeight="1" spans="1:2" x14ac:dyDescent="0.25">
      <c r="A10" s="2" t="s">
        <v>66</v>
      </c>
      <c r="B10" s="8">
        <f>B9-B5-B8</f>
        <v>1600</v>
      </c>
    </row>
    <row r="11" ht="23" customHeight="1" spans="1:2" x14ac:dyDescent="0.25">
      <c r="A11" s="3" t="s">
        <v>67</v>
      </c>
      <c r="B11" s="9">
        <f>B5+B8+B10-B9</f>
        <v>0</v>
      </c>
    </row>
  </sheetData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8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1" width="18" customWidth="1"/>
  </cols>
  <sheetData>
    <row r="1" ht="31" customHeight="1" spans="1:2" x14ac:dyDescent="0.25">
      <c r="A1" s="1" t="s">
        <v>68</v>
      </c>
      <c r="B1" s="1" t="s">
        <v>69</v>
      </c>
    </row>
    <row r="2" ht="23" customHeight="1" spans="1:11" x14ac:dyDescent="0.25">
      <c r="A2" s="2" t="s">
        <v>42</v>
      </c>
      <c r="B2" s="8">
        <v>2027</v>
      </c>
      <c r="C2" s="8">
        <v>2028</v>
      </c>
      <c r="D2" s="8">
        <v>2029</v>
      </c>
      <c r="E2" s="8">
        <v>2030</v>
      </c>
      <c r="F2" s="8">
        <v>2031</v>
      </c>
      <c r="G2" s="8">
        <v>2032</v>
      </c>
      <c r="H2" s="8">
        <v>2033</v>
      </c>
      <c r="I2" s="8">
        <v>2034</v>
      </c>
      <c r="J2" s="8">
        <v>2035</v>
      </c>
      <c r="K2" s="8">
        <v>2036</v>
      </c>
    </row>
    <row r="3" ht="23" customHeight="1" spans="1:11" x14ac:dyDescent="0.25">
      <c r="A3" s="3" t="s">
        <v>70</v>
      </c>
      <c r="B3" s="9">
        <f>Inputs!B21*(1+Inputs!B11)^1</f>
        <v>1000</v>
      </c>
      <c r="C3" s="9">
        <f>Inputs!B21*(1+Inputs!B11)^2</f>
        <v>1000</v>
      </c>
      <c r="D3" s="9">
        <f>Inputs!B21*(1+Inputs!B11)^3</f>
        <v>1000</v>
      </c>
      <c r="E3" s="9">
        <f>Inputs!B21*(1+Inputs!B11)^4</f>
        <v>1000</v>
      </c>
      <c r="F3" s="9">
        <f>Inputs!B21*(1+Inputs!B11)^5</f>
        <v>1000</v>
      </c>
      <c r="G3" s="9">
        <f>Inputs!B21*(1+Inputs!B11)^6</f>
        <v>1000</v>
      </c>
      <c r="H3" s="9">
        <f>Inputs!B21*(1+Inputs!B11)^7</f>
        <v>1000</v>
      </c>
      <c r="I3" s="9">
        <f>Inputs!B21*(1+Inputs!B11)^8</f>
        <v>1000</v>
      </c>
      <c r="J3" s="9">
        <f>Inputs!B21*(1+Inputs!B11)^9</f>
        <v>1000</v>
      </c>
      <c r="K3" s="9">
        <f>Inputs!B21*(1+Inputs!B11)^10</f>
        <v>1000</v>
      </c>
    </row>
    <row r="4" ht="23" customHeight="1" spans="1:11" x14ac:dyDescent="0.25">
      <c r="A4" s="2" t="s">
        <v>71</v>
      </c>
      <c r="B4" s="8">
        <f>B3*(Inputs!B20/Inputs!B21+Inputs!B12*1/Inputs!B9)</f>
        <v>200</v>
      </c>
      <c r="C4" s="8">
        <f>C3*(Inputs!B20/Inputs!B21+Inputs!B12*2/Inputs!B9)</f>
        <v>200</v>
      </c>
      <c r="D4" s="8">
        <f>D3*(Inputs!B20/Inputs!B21+Inputs!B12*3/Inputs!B9)</f>
        <v>200</v>
      </c>
      <c r="E4" s="8">
        <f>E3*(Inputs!B20/Inputs!B21+Inputs!B12*4/Inputs!B9)</f>
        <v>200</v>
      </c>
      <c r="F4" s="8">
        <f>F3*(Inputs!B20/Inputs!B21+Inputs!B12*5/Inputs!B9)</f>
        <v>200</v>
      </c>
      <c r="G4" s="8">
        <f>G3*(Inputs!B20/Inputs!B21+Inputs!B12*6/Inputs!B9)</f>
        <v>200</v>
      </c>
      <c r="H4" s="8">
        <f>H3*(Inputs!B20/Inputs!B21+Inputs!B12*7/Inputs!B9)</f>
        <v>200</v>
      </c>
      <c r="I4" s="8">
        <f>I3*(Inputs!B20/Inputs!B21+Inputs!B12*8/Inputs!B9)</f>
        <v>200</v>
      </c>
      <c r="J4" s="8">
        <f>J3*(Inputs!B20/Inputs!B21+Inputs!B12*9/Inputs!B9)</f>
        <v>200</v>
      </c>
      <c r="K4" s="8">
        <f>K3*(Inputs!B20/Inputs!B21+Inputs!B12*10/Inputs!B9)</f>
        <v>200</v>
      </c>
    </row>
    <row r="5" ht="23" customHeight="1" spans="1:11" x14ac:dyDescent="0.25">
      <c r="A5" s="3" t="s">
        <v>72</v>
      </c>
      <c r="B5" s="9">
        <f>B3*Inputs!B14</f>
        <v>25</v>
      </c>
      <c r="C5" s="9">
        <f>C3*Inputs!B14</f>
        <v>25</v>
      </c>
      <c r="D5" s="9">
        <f>D3*Inputs!B14</f>
        <v>25</v>
      </c>
      <c r="E5" s="9">
        <f>E3*Inputs!B14</f>
        <v>25</v>
      </c>
      <c r="F5" s="9">
        <f>F3*Inputs!B14</f>
        <v>25</v>
      </c>
      <c r="G5" s="9">
        <f>G3*Inputs!B14</f>
        <v>25</v>
      </c>
      <c r="H5" s="9">
        <f>H3*Inputs!B14</f>
        <v>25</v>
      </c>
      <c r="I5" s="9">
        <f>I3*Inputs!B14</f>
        <v>25</v>
      </c>
      <c r="J5" s="9">
        <f>J3*Inputs!B14</f>
        <v>25</v>
      </c>
      <c r="K5" s="9">
        <f>K3*Inputs!B14</f>
        <v>25</v>
      </c>
    </row>
    <row r="6" ht="23" customHeight="1" spans="1:11" x14ac:dyDescent="0.25">
      <c r="A6" s="2" t="s">
        <v>73</v>
      </c>
      <c r="B6" s="8">
        <f>'Sources &amp; uses'!B5</f>
        <v>0</v>
      </c>
      <c r="C6" s="8">
        <f>B14</f>
        <v>0</v>
      </c>
      <c r="D6" s="8">
        <f>C14</f>
        <v>0</v>
      </c>
      <c r="E6" s="8">
        <f>D14</f>
        <v>0</v>
      </c>
      <c r="F6" s="8">
        <f>E14</f>
        <v>0</v>
      </c>
      <c r="G6" s="8">
        <f>F14</f>
        <v>0</v>
      </c>
      <c r="H6" s="8">
        <f>G14</f>
        <v>0</v>
      </c>
      <c r="I6" s="8">
        <f>H14</f>
        <v>0</v>
      </c>
      <c r="J6" s="8">
        <f>I14</f>
        <v>0</v>
      </c>
      <c r="K6" s="8">
        <f>J14</f>
        <v>0</v>
      </c>
    </row>
    <row r="7" ht="23" customHeight="1" spans="1:11" x14ac:dyDescent="0.25">
      <c r="A7" s="3" t="s">
        <v>74</v>
      </c>
      <c r="B7" s="9">
        <f>B6*Inputs!B6</f>
        <v>0</v>
      </c>
      <c r="C7" s="9">
        <f>C6*Inputs!B6</f>
        <v>0</v>
      </c>
      <c r="D7" s="9">
        <f>D6*Inputs!B6</f>
        <v>0</v>
      </c>
      <c r="E7" s="9">
        <f>E6*Inputs!B6</f>
        <v>0</v>
      </c>
      <c r="F7" s="9">
        <f>F6*Inputs!B6</f>
        <v>0</v>
      </c>
      <c r="G7" s="9">
        <f>G6*Inputs!B6</f>
        <v>0</v>
      </c>
      <c r="H7" s="9">
        <f>H6*Inputs!B6</f>
        <v>0</v>
      </c>
      <c r="I7" s="9">
        <f>I6*Inputs!B6</f>
        <v>0</v>
      </c>
      <c r="J7" s="9">
        <f>J6*Inputs!B6</f>
        <v>0</v>
      </c>
      <c r="K7" s="9">
        <f>K6*Inputs!B6</f>
        <v>0</v>
      </c>
    </row>
    <row r="8" ht="23" customHeight="1" spans="1:11" x14ac:dyDescent="0.25">
      <c r="A8" s="2" t="s">
        <v>75</v>
      </c>
      <c r="B8" s="8">
        <f>MAX(0,B4-B5-B7)*Inputs!B7</f>
        <v>0</v>
      </c>
      <c r="C8" s="8">
        <f>MAX(0,C4-C5-C7)*Inputs!B7</f>
        <v>0</v>
      </c>
      <c r="D8" s="8">
        <f>MAX(0,D4-D5-D7)*Inputs!B7</f>
        <v>0</v>
      </c>
      <c r="E8" s="8">
        <f>MAX(0,E4-E5-E7)*Inputs!B7</f>
        <v>0</v>
      </c>
      <c r="F8" s="8">
        <f>MAX(0,F4-F5-F7)*Inputs!B7</f>
        <v>0</v>
      </c>
      <c r="G8" s="8">
        <f>MAX(0,G4-G5-G7)*Inputs!B7</f>
        <v>0</v>
      </c>
      <c r="H8" s="8">
        <f>MAX(0,H4-H5-H7)*Inputs!B7</f>
        <v>0</v>
      </c>
      <c r="I8" s="8">
        <f>MAX(0,I4-I5-I7)*Inputs!B7</f>
        <v>0</v>
      </c>
      <c r="J8" s="8">
        <f>MAX(0,J4-J5-J7)*Inputs!B7</f>
        <v>0</v>
      </c>
      <c r="K8" s="8">
        <f>MAX(0,K4-K5-K7)*Inputs!B7</f>
        <v>0</v>
      </c>
    </row>
    <row r="9" ht="23" customHeight="1" spans="1:11" x14ac:dyDescent="0.25">
      <c r="A9" s="3" t="s">
        <v>76</v>
      </c>
      <c r="B9" s="9">
        <f>B3*Inputs!B13</f>
        <v>0</v>
      </c>
      <c r="C9" s="9">
        <f>C3*Inputs!B13</f>
        <v>0</v>
      </c>
      <c r="D9" s="9">
        <f>D3*Inputs!B13</f>
        <v>0</v>
      </c>
      <c r="E9" s="9">
        <f>E3*Inputs!B13</f>
        <v>0</v>
      </c>
      <c r="F9" s="9">
        <f>F3*Inputs!B13</f>
        <v>0</v>
      </c>
      <c r="G9" s="9">
        <f>G3*Inputs!B13</f>
        <v>0</v>
      </c>
      <c r="H9" s="9">
        <f>H3*Inputs!B13</f>
        <v>0</v>
      </c>
      <c r="I9" s="9">
        <f>I3*Inputs!B13</f>
        <v>0</v>
      </c>
      <c r="J9" s="9">
        <f>J3*Inputs!B13</f>
        <v>0</v>
      </c>
      <c r="K9" s="9">
        <f>K3*Inputs!B13</f>
        <v>0</v>
      </c>
    </row>
    <row r="10" ht="23" customHeight="1" spans="1:11" x14ac:dyDescent="0.25">
      <c r="A10" s="2" t="s">
        <v>77</v>
      </c>
      <c r="B10" s="8">
        <f>(B3-Inputs!B21)*Inputs!B15</f>
        <v>0</v>
      </c>
      <c r="C10" s="8">
        <f>(C3-B3)*Inputs!B15</f>
        <v>0</v>
      </c>
      <c r="D10" s="8">
        <f>(D3-C3)*Inputs!B15</f>
        <v>0</v>
      </c>
      <c r="E10" s="8">
        <f>(E3-D3)*Inputs!B15</f>
        <v>0</v>
      </c>
      <c r="F10" s="8">
        <f>(F3-E3)*Inputs!B15</f>
        <v>0</v>
      </c>
      <c r="G10" s="8">
        <f>(G3-F3)*Inputs!B15</f>
        <v>0</v>
      </c>
      <c r="H10" s="8">
        <f>(H3-G3)*Inputs!B15</f>
        <v>0</v>
      </c>
      <c r="I10" s="8">
        <f>(I3-H3)*Inputs!B15</f>
        <v>0</v>
      </c>
      <c r="J10" s="8">
        <f>(J3-I3)*Inputs!B15</f>
        <v>0</v>
      </c>
      <c r="K10" s="8">
        <f>(K3-J3)*Inputs!B15</f>
        <v>0</v>
      </c>
    </row>
    <row r="11" ht="23" customHeight="1" spans="1:11" x14ac:dyDescent="0.25">
      <c r="A11" s="3" t="s">
        <v>78</v>
      </c>
      <c r="B11" s="9">
        <f>B4-B7-B8-B9-B10</f>
        <v>200</v>
      </c>
      <c r="C11" s="9">
        <f>C4-C7-C8-C9-C10</f>
        <v>200</v>
      </c>
      <c r="D11" s="9">
        <f>D4-D7-D8-D9-D10</f>
        <v>200</v>
      </c>
      <c r="E11" s="9">
        <f>E4-E7-E8-E9-E10</f>
        <v>200</v>
      </c>
      <c r="F11" s="9">
        <f>F4-F7-F8-F9-F10</f>
        <v>200</v>
      </c>
      <c r="G11" s="9">
        <f>G4-G7-G8-G9-G10</f>
        <v>200</v>
      </c>
      <c r="H11" s="9">
        <f>H4-H7-H8-H9-H10</f>
        <v>200</v>
      </c>
      <c r="I11" s="9">
        <f>I4-I7-I8-I9-I10</f>
        <v>200</v>
      </c>
      <c r="J11" s="9">
        <f>J4-J7-J8-J9-J10</f>
        <v>200</v>
      </c>
      <c r="K11" s="9">
        <f>K4-K7-K8-K9-K10</f>
        <v>200</v>
      </c>
    </row>
    <row r="12" ht="23" customHeight="1" spans="1:11" x14ac:dyDescent="0.25">
      <c r="A12" s="2" t="s">
        <v>79</v>
      </c>
      <c r="B12" s="8">
        <f>MIN(B6,'Sources &amp; uses'!B5*Inputs!B16)</f>
        <v>0</v>
      </c>
      <c r="C12" s="8">
        <f>MIN(C6,'Sources &amp; uses'!B5*Inputs!B16)</f>
        <v>0</v>
      </c>
      <c r="D12" s="8">
        <f>MIN(D6,'Sources &amp; uses'!B5*Inputs!B16)</f>
        <v>0</v>
      </c>
      <c r="E12" s="8">
        <f>MIN(E6,'Sources &amp; uses'!B5*Inputs!B16)</f>
        <v>0</v>
      </c>
      <c r="F12" s="8">
        <f>MIN(F6,'Sources &amp; uses'!B5*Inputs!B16)</f>
        <v>0</v>
      </c>
      <c r="G12" s="8">
        <f>MIN(G6,'Sources &amp; uses'!B5*Inputs!B16)</f>
        <v>0</v>
      </c>
      <c r="H12" s="8">
        <f>MIN(H6,'Sources &amp; uses'!B5*Inputs!B16)</f>
        <v>0</v>
      </c>
      <c r="I12" s="8">
        <f>MIN(I6,'Sources &amp; uses'!B5*Inputs!B16)</f>
        <v>0</v>
      </c>
      <c r="J12" s="8">
        <f>MIN(J6,'Sources &amp; uses'!B5*Inputs!B16)</f>
        <v>0</v>
      </c>
      <c r="K12" s="8">
        <f>MIN(K6,'Sources &amp; uses'!B5*Inputs!B16)</f>
        <v>0</v>
      </c>
    </row>
    <row r="13" ht="23" customHeight="1" spans="1:11" x14ac:dyDescent="0.25">
      <c r="A13" s="3" t="s">
        <v>22</v>
      </c>
      <c r="B13" s="9">
        <f>MIN(B6-B12,MAX(0,B11-B12)*Inputs!B8)</f>
        <v>0</v>
      </c>
      <c r="C13" s="9">
        <f>MIN(C6-C12,MAX(0,C11-C12)*Inputs!B8)</f>
        <v>0</v>
      </c>
      <c r="D13" s="9">
        <f>MIN(D6-D12,MAX(0,D11-D12)*Inputs!B8)</f>
        <v>0</v>
      </c>
      <c r="E13" s="9">
        <f>MIN(E6-E12,MAX(0,E11-E12)*Inputs!B8)</f>
        <v>0</v>
      </c>
      <c r="F13" s="9">
        <f>MIN(F6-F12,MAX(0,F11-F12)*Inputs!B8)</f>
        <v>0</v>
      </c>
      <c r="G13" s="9">
        <f>MIN(G6-G12,MAX(0,G11-G12)*Inputs!B8)</f>
        <v>0</v>
      </c>
      <c r="H13" s="9">
        <f>MIN(H6-H12,MAX(0,H11-H12)*Inputs!B8)</f>
        <v>0</v>
      </c>
      <c r="I13" s="9">
        <f>MIN(I6-I12,MAX(0,I11-I12)*Inputs!B8)</f>
        <v>0</v>
      </c>
      <c r="J13" s="9">
        <f>MIN(J6-J12,MAX(0,J11-J12)*Inputs!B8)</f>
        <v>0</v>
      </c>
      <c r="K13" s="9">
        <f>MIN(K6-K12,MAX(0,K11-K12)*Inputs!B8)</f>
        <v>0</v>
      </c>
    </row>
    <row r="14" ht="23" customHeight="1" spans="1:11" x14ac:dyDescent="0.25">
      <c r="A14" s="2" t="s">
        <v>80</v>
      </c>
      <c r="B14" s="8">
        <f>MAX(0,B6-B12-B13)</f>
        <v>0</v>
      </c>
      <c r="C14" s="8">
        <f>MAX(0,C6-C12-C13)</f>
        <v>0</v>
      </c>
      <c r="D14" s="8">
        <f>MAX(0,D6-D12-D13)</f>
        <v>0</v>
      </c>
      <c r="E14" s="8">
        <f>MAX(0,E6-E12-E13)</f>
        <v>0</v>
      </c>
      <c r="F14" s="8">
        <f>MAX(0,F6-F12-F13)</f>
        <v>0</v>
      </c>
      <c r="G14" s="8">
        <f>MAX(0,G6-G12-G13)</f>
        <v>0</v>
      </c>
      <c r="H14" s="8">
        <f>MAX(0,H6-H12-H13)</f>
        <v>0</v>
      </c>
      <c r="I14" s="8">
        <f>MAX(0,I6-I12-I13)</f>
        <v>0</v>
      </c>
      <c r="J14" s="8">
        <f>MAX(0,J6-J12-J13)</f>
        <v>0</v>
      </c>
      <c r="K14" s="8">
        <f>MAX(0,K6-K12-K13)</f>
        <v>0</v>
      </c>
    </row>
    <row r="15" ht="23" customHeight="1" spans="1:11" x14ac:dyDescent="0.25">
      <c r="A15" s="3" t="s">
        <v>81</v>
      </c>
      <c r="B15" s="9">
        <f>0</f>
        <v>0</v>
      </c>
      <c r="C15" s="9">
        <f>B17</f>
        <v>200</v>
      </c>
      <c r="D15" s="9">
        <f>C17</f>
        <v>400</v>
      </c>
      <c r="E15" s="9">
        <f>D17</f>
        <v>600</v>
      </c>
      <c r="F15" s="9">
        <f>E17</f>
        <v>800</v>
      </c>
      <c r="G15" s="9">
        <f>F17</f>
        <v>1000</v>
      </c>
      <c r="H15" s="9">
        <f>G17</f>
        <v>1200</v>
      </c>
      <c r="I15" s="9">
        <f>H17</f>
        <v>1400</v>
      </c>
      <c r="J15" s="9">
        <f>I17</f>
        <v>1600</v>
      </c>
      <c r="K15" s="9">
        <f>J17</f>
        <v>1800</v>
      </c>
    </row>
    <row r="16" ht="23" customHeight="1" spans="1:11" x14ac:dyDescent="0.25">
      <c r="A16" s="2" t="s">
        <v>82</v>
      </c>
      <c r="B16" s="8">
        <f>MAX(0,B12-B11-B15)</f>
        <v>0</v>
      </c>
      <c r="C16" s="8">
        <f>MAX(0,C12-C11-C15)</f>
        <v>0</v>
      </c>
      <c r="D16" s="8">
        <f>MAX(0,D12-D11-D15)</f>
        <v>0</v>
      </c>
      <c r="E16" s="8">
        <f>MAX(0,E12-E11-E15)</f>
        <v>0</v>
      </c>
      <c r="F16" s="8">
        <f>MAX(0,F12-F11-F15)</f>
        <v>0</v>
      </c>
      <c r="G16" s="8">
        <f>MAX(0,G12-G11-G15)</f>
        <v>0</v>
      </c>
      <c r="H16" s="8">
        <f>MAX(0,H12-H11-H15)</f>
        <v>0</v>
      </c>
      <c r="I16" s="8">
        <f>MAX(0,I12-I11-I15)</f>
        <v>0</v>
      </c>
      <c r="J16" s="8">
        <f>MAX(0,J12-J11-J15)</f>
        <v>0</v>
      </c>
      <c r="K16" s="8">
        <f>MAX(0,K12-K11-K15)</f>
        <v>0</v>
      </c>
    </row>
    <row r="17" ht="23" customHeight="1" spans="1:11" x14ac:dyDescent="0.25">
      <c r="A17" s="3" t="s">
        <v>83</v>
      </c>
      <c r="B17" s="9">
        <f>MAX(0,B15-MAX(0,B12-B11))+MAX(0,B11-B12-B13)</f>
        <v>200</v>
      </c>
      <c r="C17" s="9">
        <f>MAX(0,C15-MAX(0,C12-C11))+MAX(0,C11-C12-C13)</f>
        <v>400</v>
      </c>
      <c r="D17" s="9">
        <f>MAX(0,D15-MAX(0,D12-D11))+MAX(0,D11-D12-D13)</f>
        <v>600</v>
      </c>
      <c r="E17" s="9">
        <f>MAX(0,E15-MAX(0,E12-E11))+MAX(0,E11-E12-E13)</f>
        <v>800</v>
      </c>
      <c r="F17" s="9">
        <f>MAX(0,F15-MAX(0,F12-F11))+MAX(0,F11-F12-F13)</f>
        <v>1000</v>
      </c>
      <c r="G17" s="9">
        <f>MAX(0,G15-MAX(0,G12-G11))+MAX(0,G11-G12-G13)</f>
        <v>1200</v>
      </c>
      <c r="H17" s="9">
        <f>MAX(0,H15-MAX(0,H12-H11))+MAX(0,H11-H12-H13)</f>
        <v>1400</v>
      </c>
      <c r="I17" s="9">
        <f>MAX(0,I15-MAX(0,I12-I11))+MAX(0,I11-I12-I13)</f>
        <v>1600</v>
      </c>
      <c r="J17" s="9">
        <f>MAX(0,J15-MAX(0,J12-J11))+MAX(0,J11-J12-J13)</f>
        <v>1800</v>
      </c>
      <c r="K17" s="9">
        <f>MAX(0,K15-MAX(0,K12-K11))+MAX(0,K11-K12-K13)</f>
        <v>2000</v>
      </c>
    </row>
    <row r="18" ht="23" customHeight="1" spans="1:11" x14ac:dyDescent="0.25">
      <c r="A18" s="2" t="s">
        <v>84</v>
      </c>
      <c r="B18" s="8" t="str">
        <f>IF(B7=0,"Unlevered",B4/B7)</f>
        <v>Unlevered</v>
      </c>
      <c r="C18" s="8" t="str">
        <f>IF(C7=0,"Unlevered",C4/C7)</f>
        <v>Unlevered</v>
      </c>
      <c r="D18" s="8" t="str">
        <f>IF(D7=0,"Unlevered",D4/D7)</f>
        <v>Unlevered</v>
      </c>
      <c r="E18" s="8" t="str">
        <f>IF(E7=0,"Unlevered",E4/E7)</f>
        <v>Unlevered</v>
      </c>
      <c r="F18" s="8" t="str">
        <f>IF(F7=0,"Unlevered",F4/F7)</f>
        <v>Unlevered</v>
      </c>
      <c r="G18" s="8" t="str">
        <f>IF(G7=0,"Unlevered",G4/G7)</f>
        <v>Unlevered</v>
      </c>
      <c r="H18" s="8" t="str">
        <f>IF(H7=0,"Unlevered",H4/H7)</f>
        <v>Unlevered</v>
      </c>
      <c r="I18" s="8" t="str">
        <f>IF(I7=0,"Unlevered",I4/I7)</f>
        <v>Unlevered</v>
      </c>
      <c r="J18" s="8" t="str">
        <f>IF(J7=0,"Unlevered",J4/J7)</f>
        <v>Unlevered</v>
      </c>
      <c r="K18" s="8" t="str">
        <f>IF(K7=0,"Unlevered",K4/K7)</f>
        <v>Unlevered</v>
      </c>
    </row>
  </sheetData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7" width="18" customWidth="1"/>
  </cols>
  <sheetData>
    <row r="1" ht="31" customHeight="1" spans="1:2" x14ac:dyDescent="0.25">
      <c r="A1" s="1" t="s">
        <v>85</v>
      </c>
      <c r="B1" s="1" t="s">
        <v>41</v>
      </c>
    </row>
    <row r="2" ht="23" customHeight="1" spans="1:2" x14ac:dyDescent="0.25">
      <c r="A2" s="2" t="s">
        <v>86</v>
      </c>
      <c r="B2" s="2" t="s">
        <v>87</v>
      </c>
    </row>
    <row r="3" ht="23" customHeight="1" spans="1:2" x14ac:dyDescent="0.25">
      <c r="A3" s="3" t="s">
        <v>88</v>
      </c>
      <c r="B3" s="9">
        <f>INDEX(Projection!B4:K4,1,Inputs!B9)</f>
        <v>200</v>
      </c>
    </row>
    <row r="4" ht="23" customHeight="1" spans="1:2" x14ac:dyDescent="0.25">
      <c r="A4" s="2" t="s">
        <v>89</v>
      </c>
      <c r="B4" s="8">
        <f>B3*Inputs!B4</f>
        <v>1600</v>
      </c>
    </row>
    <row r="5" ht="23" customHeight="1" spans="1:2" x14ac:dyDescent="0.25">
      <c r="A5" s="3" t="s">
        <v>90</v>
      </c>
      <c r="B5" s="9">
        <f>INDEX(Projection!B14:K14,1,Inputs!B9)</f>
        <v>0</v>
      </c>
    </row>
    <row r="6" ht="23" customHeight="1" spans="1:2" x14ac:dyDescent="0.25">
      <c r="A6" s="2" t="s">
        <v>91</v>
      </c>
      <c r="B6" s="8">
        <f>INDEX(Projection!B17:K17,1,Inputs!B9)</f>
        <v>1000</v>
      </c>
    </row>
    <row r="7" ht="23" customHeight="1" spans="1:2" x14ac:dyDescent="0.25">
      <c r="A7" s="3" t="s">
        <v>92</v>
      </c>
      <c r="B7" s="9">
        <f>MAX(0,B4-B5+B6)</f>
        <v>2600</v>
      </c>
    </row>
    <row r="8" ht="23" customHeight="1" spans="1:2" x14ac:dyDescent="0.25">
      <c r="A8" s="2" t="s">
        <v>93</v>
      </c>
      <c r="B8" s="10">
        <f>IF(B14&gt;0,"Unfunded",IF(B7=0,-1,(B7/'Sources &amp; uses'!B10)^(1/Inputs!B9)-1))</f>
        <v>0.10197228772148004</v>
      </c>
    </row>
    <row r="9" ht="23" customHeight="1" spans="1:2" x14ac:dyDescent="0.25">
      <c r="A9" s="3" t="s">
        <v>94</v>
      </c>
      <c r="B9" s="9">
        <f>IF(B14&gt;0,"Unfunded",B7/'Sources &amp; uses'!B10)</f>
        <v>1.625</v>
      </c>
    </row>
    <row r="10" ht="23" customHeight="1" spans="1:2" x14ac:dyDescent="0.25">
      <c r="A10" s="2" t="s">
        <v>95</v>
      </c>
      <c r="B10" s="8">
        <f>(B3-Inputs!B20)*Inputs!B3</f>
        <v>0</v>
      </c>
    </row>
    <row r="11" ht="23" customHeight="1" spans="1:2" x14ac:dyDescent="0.25">
      <c r="A11" s="3" t="s">
        <v>96</v>
      </c>
      <c r="B11" s="9">
        <f>(Inputs!B4-Inputs!B3)*B3</f>
        <v>0</v>
      </c>
    </row>
    <row r="12" ht="23" customHeight="1" spans="1:2" x14ac:dyDescent="0.25">
      <c r="A12" s="2" t="s">
        <v>97</v>
      </c>
      <c r="B12" s="8">
        <f>'Sources &amp; uses'!B5-B5+B6</f>
        <v>1000</v>
      </c>
    </row>
    <row r="13" ht="23" customHeight="1" spans="1:2" x14ac:dyDescent="0.25">
      <c r="A13" s="3" t="s">
        <v>98</v>
      </c>
      <c r="B13" s="9">
        <f>-'Sources &amp; uses'!B4</f>
        <v>0</v>
      </c>
    </row>
    <row r="14" ht="23" customHeight="1" spans="1:2" x14ac:dyDescent="0.25">
      <c r="A14" s="2" t="s">
        <v>99</v>
      </c>
      <c r="B14" s="8">
        <f>SUM(Projection!B16:INDEX(Projection!B16:K16,1,Inputs!B9))</f>
        <v>0</v>
      </c>
    </row>
    <row r="15" ht="23" customHeight="1" spans="1:2" x14ac:dyDescent="0.25">
      <c r="A15" s="3" t="s">
        <v>100</v>
      </c>
      <c r="B15" s="9">
        <f>SUM(B10:B13)+B16-(B7-'Sources &amp; uses'!B10)</f>
        <v>0</v>
      </c>
    </row>
    <row r="16" ht="23" customHeight="1" spans="1:2" x14ac:dyDescent="0.25">
      <c r="A16" s="2" t="s">
        <v>101</v>
      </c>
      <c r="B16" s="8">
        <f>MAX(0,-(B4-B5+B6))</f>
        <v>0</v>
      </c>
    </row>
  </sheetData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7" width="18" customWidth="1"/>
  </cols>
  <sheetData>
    <row r="1" ht="31" customHeight="1" spans="1:2" x14ac:dyDescent="0.25">
      <c r="A1" s="1" t="s">
        <v>102</v>
      </c>
      <c r="B1" s="1" t="s">
        <v>103</v>
      </c>
    </row>
    <row r="2" ht="23" customHeight="1" spans="1:6" x14ac:dyDescent="0.25">
      <c r="A2" s="2" t="s">
        <v>104</v>
      </c>
      <c r="B2" s="8">
        <v>6</v>
      </c>
      <c r="C2" s="8">
        <v>7</v>
      </c>
      <c r="D2" s="8">
        <v>8</v>
      </c>
      <c r="E2" s="8">
        <v>9</v>
      </c>
      <c r="F2" s="8">
        <v>10</v>
      </c>
    </row>
    <row r="3" ht="23" customHeight="1" spans="1:6" x14ac:dyDescent="0.25">
      <c r="A3" s="9">
        <v>6</v>
      </c>
      <c r="B3" s="11">
        <v>0.12888132073019742</v>
      </c>
      <c r="C3" s="11">
        <v>0.148698354997035</v>
      </c>
      <c r="D3" s="11">
        <v>0.16723531932969304</v>
      </c>
      <c r="E3" s="11">
        <v>0.18466445254224395</v>
      </c>
      <c r="F3" s="11">
        <v>0.2011244339814312</v>
      </c>
    </row>
    <row r="4" ht="23" customHeight="1" spans="1:6" x14ac:dyDescent="0.25">
      <c r="A4" s="8">
        <v>7</v>
      </c>
      <c r="B4" s="10">
        <v>0.09460878422315744</v>
      </c>
      <c r="C4" s="10">
        <v>0.11382417860287897</v>
      </c>
      <c r="D4" s="10">
        <v>0.1317983656310019</v>
      </c>
      <c r="E4" s="10">
        <v>0.148698354997035</v>
      </c>
      <c r="F4" s="10">
        <v>0.16465861577965668</v>
      </c>
    </row>
    <row r="5" ht="23" customHeight="1" spans="1:6" x14ac:dyDescent="0.25">
      <c r="A5" s="9">
        <v>8</v>
      </c>
      <c r="B5" s="11">
        <v>0.06576275663547426</v>
      </c>
      <c r="C5" s="11">
        <v>0.08447177119769866</v>
      </c>
      <c r="D5" s="11">
        <v>0.10197228772148004</v>
      </c>
      <c r="E5" s="11">
        <v>0.11842691472014455</v>
      </c>
      <c r="F5" s="11">
        <v>0.1339665776330271</v>
      </c>
    </row>
    <row r="6" ht="23" customHeight="1" spans="1:6" x14ac:dyDescent="0.25">
      <c r="A6" s="8">
        <v>9</v>
      </c>
      <c r="B6" s="10">
        <v>0.04095039696925695</v>
      </c>
      <c r="C6" s="10">
        <v>0.05922384104881229</v>
      </c>
      <c r="D6" s="10">
        <v>0.07631692251481093</v>
      </c>
      <c r="E6" s="10">
        <v>0.09238846414037305</v>
      </c>
      <c r="F6" s="10">
        <v>0.10756634324828995</v>
      </c>
    </row>
    <row r="7" ht="23" customHeight="1" spans="1:6" x14ac:dyDescent="0.25">
      <c r="A7" s="9">
        <v>10</v>
      </c>
      <c r="B7" s="11">
        <v>0.019244876491456675</v>
      </c>
      <c r="C7" s="11">
        <v>0.03713728933664806</v>
      </c>
      <c r="D7" s="11">
        <v>0.05387395206178336</v>
      </c>
      <c r="E7" s="11">
        <v>0.0696103757250689</v>
      </c>
      <c r="F7" s="11">
        <v>0.08447177119769866</v>
      </c>
    </row>
  </sheetData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3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4" width="18" customWidth="1"/>
    <col min="5" max="5" width="85" customWidth="1"/>
    <col min="6" max="7" width="18" customWidth="1"/>
  </cols>
  <sheetData>
    <row r="1" ht="31" customHeight="1" spans="1:2" x14ac:dyDescent="0.25">
      <c r="A1" s="1" t="s">
        <v>105</v>
      </c>
      <c r="B1" s="1" t="s">
        <v>106</v>
      </c>
    </row>
    <row r="2" ht="23" customHeight="1" spans="1:6" x14ac:dyDescent="0.25">
      <c r="A2" s="2" t="s">
        <v>107</v>
      </c>
      <c r="B2" s="2" t="s">
        <v>108</v>
      </c>
      <c r="C2" s="2" t="s">
        <v>109</v>
      </c>
      <c r="D2" s="2" t="s">
        <v>110</v>
      </c>
      <c r="E2" s="2" t="s">
        <v>111</v>
      </c>
      <c r="F2" s="2" t="s">
        <v>112</v>
      </c>
    </row>
    <row r="3" ht="23" customHeight="1" spans="1:6" x14ac:dyDescent="0.25">
      <c r="A3" s="3" t="s">
        <v>43</v>
      </c>
      <c r="B3" s="9">
        <v>2022</v>
      </c>
      <c r="C3" s="3" t="s">
        <v>113</v>
      </c>
      <c r="D3" s="9">
        <v>70</v>
      </c>
      <c r="E3" s="3" t="s">
        <v>114</v>
      </c>
      <c r="F3" s="3" t="s">
        <v>106</v>
      </c>
    </row>
    <row r="4" ht="23" customHeight="1" spans="1:6" x14ac:dyDescent="0.25">
      <c r="A4" s="2" t="s">
        <v>44</v>
      </c>
      <c r="B4" s="8">
        <v>2022</v>
      </c>
      <c r="C4" s="2" t="s">
        <v>113</v>
      </c>
      <c r="D4" s="8">
        <v>71</v>
      </c>
      <c r="E4" s="2" t="s">
        <v>114</v>
      </c>
      <c r="F4" s="2" t="s">
        <v>106</v>
      </c>
    </row>
    <row r="5" ht="23" customHeight="1" spans="1:6" x14ac:dyDescent="0.25">
      <c r="A5" s="3" t="s">
        <v>45</v>
      </c>
      <c r="B5" s="9">
        <v>2022</v>
      </c>
      <c r="C5" s="3" t="s">
        <v>113</v>
      </c>
      <c r="D5" s="9">
        <v>72</v>
      </c>
      <c r="E5" s="3" t="s">
        <v>114</v>
      </c>
      <c r="F5" s="3" t="s">
        <v>106</v>
      </c>
    </row>
    <row r="6" ht="23" customHeight="1" spans="1:6" x14ac:dyDescent="0.25">
      <c r="A6" s="2" t="s">
        <v>46</v>
      </c>
      <c r="B6" s="8">
        <v>2022</v>
      </c>
      <c r="C6" s="2" t="s">
        <v>113</v>
      </c>
      <c r="D6" s="8">
        <v>73</v>
      </c>
      <c r="E6" s="2" t="s">
        <v>114</v>
      </c>
      <c r="F6" s="2" t="s">
        <v>106</v>
      </c>
    </row>
    <row r="7" ht="23" customHeight="1" spans="1:6" x14ac:dyDescent="0.25">
      <c r="A7" s="3" t="s">
        <v>47</v>
      </c>
      <c r="B7" s="9">
        <v>2022</v>
      </c>
      <c r="C7" s="3" t="s">
        <v>113</v>
      </c>
      <c r="D7" s="9">
        <v>74</v>
      </c>
      <c r="E7" s="3" t="s">
        <v>114</v>
      </c>
      <c r="F7" s="3" t="s">
        <v>106</v>
      </c>
    </row>
    <row r="8" ht="23" customHeight="1" spans="1:6" x14ac:dyDescent="0.25">
      <c r="A8" s="2" t="s">
        <v>48</v>
      </c>
      <c r="B8" s="8">
        <v>2022</v>
      </c>
      <c r="C8" s="2" t="s">
        <v>113</v>
      </c>
      <c r="D8" s="8">
        <v>75</v>
      </c>
      <c r="E8" s="2" t="s">
        <v>114</v>
      </c>
      <c r="F8" s="2" t="s">
        <v>106</v>
      </c>
    </row>
    <row r="9" ht="23" customHeight="1" spans="1:6" x14ac:dyDescent="0.25">
      <c r="A9" s="3" t="s">
        <v>49</v>
      </c>
      <c r="B9" s="9">
        <v>2022</v>
      </c>
      <c r="C9" s="3" t="s">
        <v>113</v>
      </c>
      <c r="D9" s="9">
        <v>76</v>
      </c>
      <c r="E9" s="3" t="s">
        <v>114</v>
      </c>
      <c r="F9" s="3" t="s">
        <v>106</v>
      </c>
    </row>
    <row r="10" ht="23" customHeight="1" spans="1:6" x14ac:dyDescent="0.25">
      <c r="A10" s="2" t="s">
        <v>50</v>
      </c>
      <c r="B10" s="8">
        <v>2022</v>
      </c>
      <c r="C10" s="2" t="s">
        <v>113</v>
      </c>
      <c r="D10" s="8">
        <v>77</v>
      </c>
      <c r="E10" s="2" t="s">
        <v>114</v>
      </c>
      <c r="F10" s="2" t="s">
        <v>106</v>
      </c>
    </row>
    <row r="11" ht="23" customHeight="1" spans="1:6" x14ac:dyDescent="0.25">
      <c r="A11" s="3" t="s">
        <v>51</v>
      </c>
      <c r="B11" s="9">
        <v>2022</v>
      </c>
      <c r="C11" s="3" t="s">
        <v>113</v>
      </c>
      <c r="D11" s="9">
        <v>78</v>
      </c>
      <c r="E11" s="3" t="s">
        <v>114</v>
      </c>
      <c r="F11" s="3" t="s">
        <v>106</v>
      </c>
    </row>
    <row r="12" ht="23" customHeight="1" spans="1:6" x14ac:dyDescent="0.25">
      <c r="A12" s="2" t="s">
        <v>52</v>
      </c>
      <c r="B12" s="8">
        <v>2022</v>
      </c>
      <c r="C12" s="2" t="s">
        <v>113</v>
      </c>
      <c r="D12" s="8">
        <v>79</v>
      </c>
      <c r="E12" s="2" t="s">
        <v>114</v>
      </c>
      <c r="F12" s="2" t="s">
        <v>106</v>
      </c>
    </row>
    <row r="13" ht="23" customHeight="1" spans="1:6" x14ac:dyDescent="0.25">
      <c r="A13" s="3" t="s">
        <v>53</v>
      </c>
      <c r="B13" s="9">
        <v>2022</v>
      </c>
      <c r="C13" s="3" t="s">
        <v>113</v>
      </c>
      <c r="D13" s="9">
        <v>80</v>
      </c>
      <c r="E13" s="3" t="s">
        <v>114</v>
      </c>
      <c r="F13" s="3" t="s">
        <v>106</v>
      </c>
    </row>
    <row r="14" ht="23" customHeight="1" spans="1:6" x14ac:dyDescent="0.25">
      <c r="A14" s="2" t="s">
        <v>54</v>
      </c>
      <c r="B14" s="8">
        <v>2022</v>
      </c>
      <c r="C14" s="2" t="s">
        <v>113</v>
      </c>
      <c r="D14" s="8">
        <v>81</v>
      </c>
      <c r="E14" s="2" t="s">
        <v>114</v>
      </c>
      <c r="F14" s="2" t="s">
        <v>106</v>
      </c>
    </row>
    <row r="15" ht="23" customHeight="1" spans="1:6" x14ac:dyDescent="0.25">
      <c r="A15" s="3" t="s">
        <v>55</v>
      </c>
      <c r="B15" s="9">
        <v>2022</v>
      </c>
      <c r="C15" s="3" t="s">
        <v>113</v>
      </c>
      <c r="D15" s="9">
        <v>82</v>
      </c>
      <c r="E15" s="3" t="s">
        <v>114</v>
      </c>
      <c r="F15" s="3" t="s">
        <v>106</v>
      </c>
    </row>
    <row r="16" ht="23" customHeight="1" spans="1:6" x14ac:dyDescent="0.25">
      <c r="A16" s="2" t="s">
        <v>56</v>
      </c>
      <c r="B16" s="8">
        <v>2022</v>
      </c>
      <c r="C16" s="2" t="s">
        <v>113</v>
      </c>
      <c r="D16" s="8">
        <v>83</v>
      </c>
      <c r="E16" s="2" t="s">
        <v>114</v>
      </c>
      <c r="F16" s="2" t="s">
        <v>106</v>
      </c>
    </row>
    <row r="17" ht="23" customHeight="1" spans="1:6" x14ac:dyDescent="0.25">
      <c r="A17" s="3" t="s">
        <v>43</v>
      </c>
      <c r="B17" s="9">
        <v>2023</v>
      </c>
      <c r="C17" s="3" t="s">
        <v>115</v>
      </c>
      <c r="D17" s="9">
        <v>70</v>
      </c>
      <c r="E17" s="3" t="s">
        <v>114</v>
      </c>
      <c r="F17" s="3" t="s">
        <v>106</v>
      </c>
    </row>
    <row r="18" ht="23" customHeight="1" spans="1:6" x14ac:dyDescent="0.25">
      <c r="A18" s="2" t="s">
        <v>44</v>
      </c>
      <c r="B18" s="8">
        <v>2023</v>
      </c>
      <c r="C18" s="2" t="s">
        <v>115</v>
      </c>
      <c r="D18" s="8">
        <v>71</v>
      </c>
      <c r="E18" s="2" t="s">
        <v>114</v>
      </c>
      <c r="F18" s="2" t="s">
        <v>106</v>
      </c>
    </row>
    <row r="19" ht="23" customHeight="1" spans="1:6" x14ac:dyDescent="0.25">
      <c r="A19" s="3" t="s">
        <v>45</v>
      </c>
      <c r="B19" s="9">
        <v>2023</v>
      </c>
      <c r="C19" s="3" t="s">
        <v>115</v>
      </c>
      <c r="D19" s="9">
        <v>72</v>
      </c>
      <c r="E19" s="3" t="s">
        <v>114</v>
      </c>
      <c r="F19" s="3" t="s">
        <v>106</v>
      </c>
    </row>
    <row r="20" ht="23" customHeight="1" spans="1:6" x14ac:dyDescent="0.25">
      <c r="A20" s="2" t="s">
        <v>46</v>
      </c>
      <c r="B20" s="8">
        <v>2023</v>
      </c>
      <c r="C20" s="2" t="s">
        <v>115</v>
      </c>
      <c r="D20" s="8">
        <v>73</v>
      </c>
      <c r="E20" s="2" t="s">
        <v>114</v>
      </c>
      <c r="F20" s="2" t="s">
        <v>106</v>
      </c>
    </row>
    <row r="21" ht="23" customHeight="1" spans="1:6" x14ac:dyDescent="0.25">
      <c r="A21" s="3" t="s">
        <v>47</v>
      </c>
      <c r="B21" s="9">
        <v>2023</v>
      </c>
      <c r="C21" s="3" t="s">
        <v>115</v>
      </c>
      <c r="D21" s="9">
        <v>74</v>
      </c>
      <c r="E21" s="3" t="s">
        <v>114</v>
      </c>
      <c r="F21" s="3" t="s">
        <v>106</v>
      </c>
    </row>
    <row r="22" ht="23" customHeight="1" spans="1:6" x14ac:dyDescent="0.25">
      <c r="A22" s="2" t="s">
        <v>48</v>
      </c>
      <c r="B22" s="8">
        <v>2023</v>
      </c>
      <c r="C22" s="2" t="s">
        <v>115</v>
      </c>
      <c r="D22" s="8">
        <v>75</v>
      </c>
      <c r="E22" s="2" t="s">
        <v>114</v>
      </c>
      <c r="F22" s="2" t="s">
        <v>106</v>
      </c>
    </row>
    <row r="23" ht="23" customHeight="1" spans="1:6" x14ac:dyDescent="0.25">
      <c r="A23" s="3" t="s">
        <v>49</v>
      </c>
      <c r="B23" s="9">
        <v>2023</v>
      </c>
      <c r="C23" s="3" t="s">
        <v>115</v>
      </c>
      <c r="D23" s="9">
        <v>76</v>
      </c>
      <c r="E23" s="3" t="s">
        <v>114</v>
      </c>
      <c r="F23" s="3" t="s">
        <v>106</v>
      </c>
    </row>
    <row r="24" ht="23" customHeight="1" spans="1:6" x14ac:dyDescent="0.25">
      <c r="A24" s="2" t="s">
        <v>50</v>
      </c>
      <c r="B24" s="8">
        <v>2023</v>
      </c>
      <c r="C24" s="2" t="s">
        <v>115</v>
      </c>
      <c r="D24" s="8">
        <v>77</v>
      </c>
      <c r="E24" s="2" t="s">
        <v>114</v>
      </c>
      <c r="F24" s="2" t="s">
        <v>106</v>
      </c>
    </row>
    <row r="25" ht="23" customHeight="1" spans="1:6" x14ac:dyDescent="0.25">
      <c r="A25" s="3" t="s">
        <v>51</v>
      </c>
      <c r="B25" s="9">
        <v>2023</v>
      </c>
      <c r="C25" s="3" t="s">
        <v>115</v>
      </c>
      <c r="D25" s="9">
        <v>78</v>
      </c>
      <c r="E25" s="3" t="s">
        <v>114</v>
      </c>
      <c r="F25" s="3" t="s">
        <v>106</v>
      </c>
    </row>
    <row r="26" ht="23" customHeight="1" spans="1:6" x14ac:dyDescent="0.25">
      <c r="A26" s="2" t="s">
        <v>52</v>
      </c>
      <c r="B26" s="8">
        <v>2023</v>
      </c>
      <c r="C26" s="2" t="s">
        <v>115</v>
      </c>
      <c r="D26" s="8">
        <v>79</v>
      </c>
      <c r="E26" s="2" t="s">
        <v>114</v>
      </c>
      <c r="F26" s="2" t="s">
        <v>106</v>
      </c>
    </row>
    <row r="27" ht="23" customHeight="1" spans="1:6" x14ac:dyDescent="0.25">
      <c r="A27" s="3" t="s">
        <v>53</v>
      </c>
      <c r="B27" s="9">
        <v>2023</v>
      </c>
      <c r="C27" s="3" t="s">
        <v>115</v>
      </c>
      <c r="D27" s="9">
        <v>80</v>
      </c>
      <c r="E27" s="3" t="s">
        <v>114</v>
      </c>
      <c r="F27" s="3" t="s">
        <v>106</v>
      </c>
    </row>
    <row r="28" ht="23" customHeight="1" spans="1:6" x14ac:dyDescent="0.25">
      <c r="A28" s="2" t="s">
        <v>54</v>
      </c>
      <c r="B28" s="8">
        <v>2023</v>
      </c>
      <c r="C28" s="2" t="s">
        <v>115</v>
      </c>
      <c r="D28" s="8">
        <v>81</v>
      </c>
      <c r="E28" s="2" t="s">
        <v>114</v>
      </c>
      <c r="F28" s="2" t="s">
        <v>106</v>
      </c>
    </row>
    <row r="29" ht="23" customHeight="1" spans="1:6" x14ac:dyDescent="0.25">
      <c r="A29" s="3" t="s">
        <v>55</v>
      </c>
      <c r="B29" s="9">
        <v>2023</v>
      </c>
      <c r="C29" s="3" t="s">
        <v>115</v>
      </c>
      <c r="D29" s="9">
        <v>82</v>
      </c>
      <c r="E29" s="3" t="s">
        <v>114</v>
      </c>
      <c r="F29" s="3" t="s">
        <v>106</v>
      </c>
    </row>
    <row r="30" ht="23" customHeight="1" spans="1:6" x14ac:dyDescent="0.25">
      <c r="A30" s="2" t="s">
        <v>56</v>
      </c>
      <c r="B30" s="8">
        <v>2023</v>
      </c>
      <c r="C30" s="2" t="s">
        <v>115</v>
      </c>
      <c r="D30" s="8">
        <v>83</v>
      </c>
      <c r="E30" s="2" t="s">
        <v>114</v>
      </c>
      <c r="F30" s="2" t="s">
        <v>106</v>
      </c>
    </row>
    <row r="31" ht="23" customHeight="1" spans="1:6" x14ac:dyDescent="0.25">
      <c r="A31" s="3" t="s">
        <v>43</v>
      </c>
      <c r="B31" s="9">
        <v>2024</v>
      </c>
      <c r="C31" s="3" t="s">
        <v>116</v>
      </c>
      <c r="D31" s="9">
        <v>70</v>
      </c>
      <c r="E31" s="3" t="s">
        <v>114</v>
      </c>
      <c r="F31" s="3" t="s">
        <v>106</v>
      </c>
    </row>
    <row r="32" ht="23" customHeight="1" spans="1:6" x14ac:dyDescent="0.25">
      <c r="A32" s="2" t="s">
        <v>44</v>
      </c>
      <c r="B32" s="8">
        <v>2024</v>
      </c>
      <c r="C32" s="2" t="s">
        <v>116</v>
      </c>
      <c r="D32" s="8">
        <v>71</v>
      </c>
      <c r="E32" s="2" t="s">
        <v>114</v>
      </c>
      <c r="F32" s="2" t="s">
        <v>106</v>
      </c>
    </row>
    <row r="33" ht="23" customHeight="1" spans="1:6" x14ac:dyDescent="0.25">
      <c r="A33" s="3" t="s">
        <v>45</v>
      </c>
      <c r="B33" s="9">
        <v>2024</v>
      </c>
      <c r="C33" s="3" t="s">
        <v>116</v>
      </c>
      <c r="D33" s="9">
        <v>72</v>
      </c>
      <c r="E33" s="3" t="s">
        <v>114</v>
      </c>
      <c r="F33" s="3" t="s">
        <v>106</v>
      </c>
    </row>
    <row r="34" ht="23" customHeight="1" spans="1:6" x14ac:dyDescent="0.25">
      <c r="A34" s="2" t="s">
        <v>46</v>
      </c>
      <c r="B34" s="8">
        <v>2024</v>
      </c>
      <c r="C34" s="2" t="s">
        <v>116</v>
      </c>
      <c r="D34" s="8">
        <v>73</v>
      </c>
      <c r="E34" s="2" t="s">
        <v>114</v>
      </c>
      <c r="F34" s="2" t="s">
        <v>106</v>
      </c>
    </row>
    <row r="35" ht="23" customHeight="1" spans="1:6" x14ac:dyDescent="0.25">
      <c r="A35" s="3" t="s">
        <v>47</v>
      </c>
      <c r="B35" s="9">
        <v>2024</v>
      </c>
      <c r="C35" s="3" t="s">
        <v>116</v>
      </c>
      <c r="D35" s="9">
        <v>74</v>
      </c>
      <c r="E35" s="3" t="s">
        <v>114</v>
      </c>
      <c r="F35" s="3" t="s">
        <v>106</v>
      </c>
    </row>
    <row r="36" ht="23" customHeight="1" spans="1:6" x14ac:dyDescent="0.25">
      <c r="A36" s="2" t="s">
        <v>48</v>
      </c>
      <c r="B36" s="8">
        <v>2024</v>
      </c>
      <c r="C36" s="2" t="s">
        <v>116</v>
      </c>
      <c r="D36" s="8">
        <v>75</v>
      </c>
      <c r="E36" s="2" t="s">
        <v>114</v>
      </c>
      <c r="F36" s="2" t="s">
        <v>106</v>
      </c>
    </row>
    <row r="37" ht="23" customHeight="1" spans="1:6" x14ac:dyDescent="0.25">
      <c r="A37" s="3" t="s">
        <v>49</v>
      </c>
      <c r="B37" s="9">
        <v>2024</v>
      </c>
      <c r="C37" s="3" t="s">
        <v>116</v>
      </c>
      <c r="D37" s="9">
        <v>76</v>
      </c>
      <c r="E37" s="3" t="s">
        <v>114</v>
      </c>
      <c r="F37" s="3" t="s">
        <v>106</v>
      </c>
    </row>
    <row r="38" ht="23" customHeight="1" spans="1:6" x14ac:dyDescent="0.25">
      <c r="A38" s="2" t="s">
        <v>50</v>
      </c>
      <c r="B38" s="8">
        <v>2024</v>
      </c>
      <c r="C38" s="2" t="s">
        <v>116</v>
      </c>
      <c r="D38" s="8">
        <v>77</v>
      </c>
      <c r="E38" s="2" t="s">
        <v>114</v>
      </c>
      <c r="F38" s="2" t="s">
        <v>106</v>
      </c>
    </row>
    <row r="39" ht="23" customHeight="1" spans="1:6" x14ac:dyDescent="0.25">
      <c r="A39" s="3" t="s">
        <v>51</v>
      </c>
      <c r="B39" s="9">
        <v>2024</v>
      </c>
      <c r="C39" s="3" t="s">
        <v>116</v>
      </c>
      <c r="D39" s="9">
        <v>78</v>
      </c>
      <c r="E39" s="3" t="s">
        <v>114</v>
      </c>
      <c r="F39" s="3" t="s">
        <v>106</v>
      </c>
    </row>
    <row r="40" ht="23" customHeight="1" spans="1:6" x14ac:dyDescent="0.25">
      <c r="A40" s="2" t="s">
        <v>52</v>
      </c>
      <c r="B40" s="8">
        <v>2024</v>
      </c>
      <c r="C40" s="2" t="s">
        <v>116</v>
      </c>
      <c r="D40" s="8">
        <v>79</v>
      </c>
      <c r="E40" s="2" t="s">
        <v>114</v>
      </c>
      <c r="F40" s="2" t="s">
        <v>106</v>
      </c>
    </row>
    <row r="41" ht="23" customHeight="1" spans="1:6" x14ac:dyDescent="0.25">
      <c r="A41" s="3" t="s">
        <v>53</v>
      </c>
      <c r="B41" s="9">
        <v>2024</v>
      </c>
      <c r="C41" s="3" t="s">
        <v>116</v>
      </c>
      <c r="D41" s="9">
        <v>80</v>
      </c>
      <c r="E41" s="3" t="s">
        <v>114</v>
      </c>
      <c r="F41" s="3" t="s">
        <v>106</v>
      </c>
    </row>
    <row r="42" ht="23" customHeight="1" spans="1:6" x14ac:dyDescent="0.25">
      <c r="A42" s="2" t="s">
        <v>54</v>
      </c>
      <c r="B42" s="8">
        <v>2024</v>
      </c>
      <c r="C42" s="2" t="s">
        <v>116</v>
      </c>
      <c r="D42" s="8">
        <v>81</v>
      </c>
      <c r="E42" s="2" t="s">
        <v>114</v>
      </c>
      <c r="F42" s="2" t="s">
        <v>106</v>
      </c>
    </row>
    <row r="43" ht="23" customHeight="1" spans="1:6" x14ac:dyDescent="0.25">
      <c r="A43" s="3" t="s">
        <v>55</v>
      </c>
      <c r="B43" s="9">
        <v>2024</v>
      </c>
      <c r="C43" s="3" t="s">
        <v>116</v>
      </c>
      <c r="D43" s="9">
        <v>82</v>
      </c>
      <c r="E43" s="3" t="s">
        <v>114</v>
      </c>
      <c r="F43" s="3" t="s">
        <v>106</v>
      </c>
    </row>
    <row r="44" ht="23" customHeight="1" spans="1:6" x14ac:dyDescent="0.25">
      <c r="A44" s="2" t="s">
        <v>56</v>
      </c>
      <c r="B44" s="8">
        <v>2024</v>
      </c>
      <c r="C44" s="2" t="s">
        <v>116</v>
      </c>
      <c r="D44" s="8">
        <v>83</v>
      </c>
      <c r="E44" s="2" t="s">
        <v>114</v>
      </c>
      <c r="F44" s="2" t="s">
        <v>106</v>
      </c>
    </row>
    <row r="45" ht="23" customHeight="1" spans="1:6" x14ac:dyDescent="0.25">
      <c r="A45" s="3" t="s">
        <v>43</v>
      </c>
      <c r="B45" s="9">
        <v>2025</v>
      </c>
      <c r="C45" s="3" t="s">
        <v>117</v>
      </c>
      <c r="D45" s="9">
        <v>70</v>
      </c>
      <c r="E45" s="3" t="s">
        <v>114</v>
      </c>
      <c r="F45" s="3" t="s">
        <v>106</v>
      </c>
    </row>
    <row r="46" ht="23" customHeight="1" spans="1:6" x14ac:dyDescent="0.25">
      <c r="A46" s="2" t="s">
        <v>44</v>
      </c>
      <c r="B46" s="8">
        <v>2025</v>
      </c>
      <c r="C46" s="2" t="s">
        <v>117</v>
      </c>
      <c r="D46" s="8">
        <v>71</v>
      </c>
      <c r="E46" s="2" t="s">
        <v>114</v>
      </c>
      <c r="F46" s="2" t="s">
        <v>106</v>
      </c>
    </row>
    <row r="47" ht="23" customHeight="1" spans="1:6" x14ac:dyDescent="0.25">
      <c r="A47" s="3" t="s">
        <v>45</v>
      </c>
      <c r="B47" s="9">
        <v>2025</v>
      </c>
      <c r="C47" s="3" t="s">
        <v>117</v>
      </c>
      <c r="D47" s="9">
        <v>72</v>
      </c>
      <c r="E47" s="3" t="s">
        <v>114</v>
      </c>
      <c r="F47" s="3" t="s">
        <v>106</v>
      </c>
    </row>
    <row r="48" ht="23" customHeight="1" spans="1:6" x14ac:dyDescent="0.25">
      <c r="A48" s="2" t="s">
        <v>46</v>
      </c>
      <c r="B48" s="8">
        <v>2025</v>
      </c>
      <c r="C48" s="2" t="s">
        <v>117</v>
      </c>
      <c r="D48" s="8">
        <v>73</v>
      </c>
      <c r="E48" s="2" t="s">
        <v>114</v>
      </c>
      <c r="F48" s="2" t="s">
        <v>106</v>
      </c>
    </row>
    <row r="49" ht="23" customHeight="1" spans="1:6" x14ac:dyDescent="0.25">
      <c r="A49" s="3" t="s">
        <v>47</v>
      </c>
      <c r="B49" s="9">
        <v>2025</v>
      </c>
      <c r="C49" s="3" t="s">
        <v>117</v>
      </c>
      <c r="D49" s="9">
        <v>74</v>
      </c>
      <c r="E49" s="3" t="s">
        <v>114</v>
      </c>
      <c r="F49" s="3" t="s">
        <v>106</v>
      </c>
    </row>
    <row r="50" ht="23" customHeight="1" spans="1:6" x14ac:dyDescent="0.25">
      <c r="A50" s="2" t="s">
        <v>48</v>
      </c>
      <c r="B50" s="8">
        <v>2025</v>
      </c>
      <c r="C50" s="2" t="s">
        <v>117</v>
      </c>
      <c r="D50" s="8">
        <v>75</v>
      </c>
      <c r="E50" s="2" t="s">
        <v>114</v>
      </c>
      <c r="F50" s="2" t="s">
        <v>106</v>
      </c>
    </row>
    <row r="51" ht="23" customHeight="1" spans="1:6" x14ac:dyDescent="0.25">
      <c r="A51" s="3" t="s">
        <v>49</v>
      </c>
      <c r="B51" s="9">
        <v>2025</v>
      </c>
      <c r="C51" s="3" t="s">
        <v>117</v>
      </c>
      <c r="D51" s="9">
        <v>76</v>
      </c>
      <c r="E51" s="3" t="s">
        <v>114</v>
      </c>
      <c r="F51" s="3" t="s">
        <v>106</v>
      </c>
    </row>
    <row r="52" ht="23" customHeight="1" spans="1:6" x14ac:dyDescent="0.25">
      <c r="A52" s="2" t="s">
        <v>50</v>
      </c>
      <c r="B52" s="8">
        <v>2025</v>
      </c>
      <c r="C52" s="2" t="s">
        <v>117</v>
      </c>
      <c r="D52" s="8">
        <v>77</v>
      </c>
      <c r="E52" s="2" t="s">
        <v>114</v>
      </c>
      <c r="F52" s="2" t="s">
        <v>106</v>
      </c>
    </row>
    <row r="53" ht="23" customHeight="1" spans="1:6" x14ac:dyDescent="0.25">
      <c r="A53" s="3" t="s">
        <v>51</v>
      </c>
      <c r="B53" s="9">
        <v>2025</v>
      </c>
      <c r="C53" s="3" t="s">
        <v>117</v>
      </c>
      <c r="D53" s="9">
        <v>78</v>
      </c>
      <c r="E53" s="3" t="s">
        <v>114</v>
      </c>
      <c r="F53" s="3" t="s">
        <v>106</v>
      </c>
    </row>
    <row r="54" ht="23" customHeight="1" spans="1:6" x14ac:dyDescent="0.25">
      <c r="A54" s="2" t="s">
        <v>52</v>
      </c>
      <c r="B54" s="8">
        <v>2025</v>
      </c>
      <c r="C54" s="2" t="s">
        <v>117</v>
      </c>
      <c r="D54" s="8">
        <v>79</v>
      </c>
      <c r="E54" s="2" t="s">
        <v>114</v>
      </c>
      <c r="F54" s="2" t="s">
        <v>106</v>
      </c>
    </row>
    <row r="55" ht="23" customHeight="1" spans="1:6" x14ac:dyDescent="0.25">
      <c r="A55" s="3" t="s">
        <v>53</v>
      </c>
      <c r="B55" s="9">
        <v>2025</v>
      </c>
      <c r="C55" s="3" t="s">
        <v>117</v>
      </c>
      <c r="D55" s="9">
        <v>80</v>
      </c>
      <c r="E55" s="3" t="s">
        <v>114</v>
      </c>
      <c r="F55" s="3" t="s">
        <v>106</v>
      </c>
    </row>
    <row r="56" ht="23" customHeight="1" spans="1:6" x14ac:dyDescent="0.25">
      <c r="A56" s="2" t="s">
        <v>54</v>
      </c>
      <c r="B56" s="8">
        <v>2025</v>
      </c>
      <c r="C56" s="2" t="s">
        <v>117</v>
      </c>
      <c r="D56" s="8">
        <v>81</v>
      </c>
      <c r="E56" s="2" t="s">
        <v>114</v>
      </c>
      <c r="F56" s="2" t="s">
        <v>106</v>
      </c>
    </row>
    <row r="57" ht="23" customHeight="1" spans="1:6" x14ac:dyDescent="0.25">
      <c r="A57" s="3" t="s">
        <v>55</v>
      </c>
      <c r="B57" s="9">
        <v>2025</v>
      </c>
      <c r="C57" s="3" t="s">
        <v>117</v>
      </c>
      <c r="D57" s="9">
        <v>82</v>
      </c>
      <c r="E57" s="3" t="s">
        <v>114</v>
      </c>
      <c r="F57" s="3" t="s">
        <v>106</v>
      </c>
    </row>
    <row r="58" ht="23" customHeight="1" spans="1:6" x14ac:dyDescent="0.25">
      <c r="A58" s="2" t="s">
        <v>56</v>
      </c>
      <c r="B58" s="8">
        <v>2025</v>
      </c>
      <c r="C58" s="2" t="s">
        <v>117</v>
      </c>
      <c r="D58" s="8">
        <v>83</v>
      </c>
      <c r="E58" s="2" t="s">
        <v>114</v>
      </c>
      <c r="F58" s="2" t="s">
        <v>106</v>
      </c>
    </row>
    <row r="59" ht="23" customHeight="1" spans="1:6" x14ac:dyDescent="0.25">
      <c r="A59" s="3" t="s">
        <v>43</v>
      </c>
      <c r="B59" s="9">
        <v>2026</v>
      </c>
      <c r="C59" s="3" t="s">
        <v>118</v>
      </c>
      <c r="D59" s="9">
        <v>70</v>
      </c>
      <c r="E59" s="3" t="s">
        <v>114</v>
      </c>
      <c r="F59" s="3" t="s">
        <v>106</v>
      </c>
    </row>
    <row r="60" ht="23" customHeight="1" spans="1:6" x14ac:dyDescent="0.25">
      <c r="A60" s="2" t="s">
        <v>44</v>
      </c>
      <c r="B60" s="8">
        <v>2026</v>
      </c>
      <c r="C60" s="2" t="s">
        <v>118</v>
      </c>
      <c r="D60" s="8">
        <v>71</v>
      </c>
      <c r="E60" s="2" t="s">
        <v>114</v>
      </c>
      <c r="F60" s="2" t="s">
        <v>106</v>
      </c>
    </row>
    <row r="61" ht="23" customHeight="1" spans="1:6" x14ac:dyDescent="0.25">
      <c r="A61" s="3" t="s">
        <v>45</v>
      </c>
      <c r="B61" s="9">
        <v>2026</v>
      </c>
      <c r="C61" s="3" t="s">
        <v>118</v>
      </c>
      <c r="D61" s="9">
        <v>72</v>
      </c>
      <c r="E61" s="3" t="s">
        <v>114</v>
      </c>
      <c r="F61" s="3" t="s">
        <v>106</v>
      </c>
    </row>
    <row r="62" ht="23" customHeight="1" spans="1:6" x14ac:dyDescent="0.25">
      <c r="A62" s="2" t="s">
        <v>46</v>
      </c>
      <c r="B62" s="8">
        <v>2026</v>
      </c>
      <c r="C62" s="2" t="s">
        <v>118</v>
      </c>
      <c r="D62" s="8">
        <v>73</v>
      </c>
      <c r="E62" s="2" t="s">
        <v>114</v>
      </c>
      <c r="F62" s="2" t="s">
        <v>106</v>
      </c>
    </row>
    <row r="63" ht="23" customHeight="1" spans="1:6" x14ac:dyDescent="0.25">
      <c r="A63" s="3" t="s">
        <v>47</v>
      </c>
      <c r="B63" s="9">
        <v>2026</v>
      </c>
      <c r="C63" s="3" t="s">
        <v>118</v>
      </c>
      <c r="D63" s="9">
        <v>74</v>
      </c>
      <c r="E63" s="3" t="s">
        <v>114</v>
      </c>
      <c r="F63" s="3" t="s">
        <v>106</v>
      </c>
    </row>
    <row r="64" ht="23" customHeight="1" spans="1:6" x14ac:dyDescent="0.25">
      <c r="A64" s="2" t="s">
        <v>48</v>
      </c>
      <c r="B64" s="8">
        <v>2026</v>
      </c>
      <c r="C64" s="2" t="s">
        <v>118</v>
      </c>
      <c r="D64" s="8">
        <v>75</v>
      </c>
      <c r="E64" s="2" t="s">
        <v>114</v>
      </c>
      <c r="F64" s="2" t="s">
        <v>106</v>
      </c>
    </row>
    <row r="65" ht="23" customHeight="1" spans="1:6" x14ac:dyDescent="0.25">
      <c r="A65" s="3" t="s">
        <v>49</v>
      </c>
      <c r="B65" s="9">
        <v>2026</v>
      </c>
      <c r="C65" s="3" t="s">
        <v>118</v>
      </c>
      <c r="D65" s="9">
        <v>76</v>
      </c>
      <c r="E65" s="3" t="s">
        <v>114</v>
      </c>
      <c r="F65" s="3" t="s">
        <v>106</v>
      </c>
    </row>
    <row r="66" ht="23" customHeight="1" spans="1:6" x14ac:dyDescent="0.25">
      <c r="A66" s="2" t="s">
        <v>50</v>
      </c>
      <c r="B66" s="8">
        <v>2026</v>
      </c>
      <c r="C66" s="2" t="s">
        <v>118</v>
      </c>
      <c r="D66" s="8">
        <v>77</v>
      </c>
      <c r="E66" s="2" t="s">
        <v>114</v>
      </c>
      <c r="F66" s="2" t="s">
        <v>106</v>
      </c>
    </row>
    <row r="67" ht="23" customHeight="1" spans="1:6" x14ac:dyDescent="0.25">
      <c r="A67" s="3" t="s">
        <v>51</v>
      </c>
      <c r="B67" s="9">
        <v>2026</v>
      </c>
      <c r="C67" s="3" t="s">
        <v>118</v>
      </c>
      <c r="D67" s="9">
        <v>78</v>
      </c>
      <c r="E67" s="3" t="s">
        <v>114</v>
      </c>
      <c r="F67" s="3" t="s">
        <v>106</v>
      </c>
    </row>
    <row r="68" ht="23" customHeight="1" spans="1:6" x14ac:dyDescent="0.25">
      <c r="A68" s="2" t="s">
        <v>52</v>
      </c>
      <c r="B68" s="8">
        <v>2026</v>
      </c>
      <c r="C68" s="2" t="s">
        <v>118</v>
      </c>
      <c r="D68" s="8">
        <v>79</v>
      </c>
      <c r="E68" s="2" t="s">
        <v>114</v>
      </c>
      <c r="F68" s="2" t="s">
        <v>106</v>
      </c>
    </row>
    <row r="69" ht="23" customHeight="1" spans="1:6" x14ac:dyDescent="0.25">
      <c r="A69" s="3" t="s">
        <v>53</v>
      </c>
      <c r="B69" s="9">
        <v>2026</v>
      </c>
      <c r="C69" s="3" t="s">
        <v>118</v>
      </c>
      <c r="D69" s="9">
        <v>80</v>
      </c>
      <c r="E69" s="3" t="s">
        <v>114</v>
      </c>
      <c r="F69" s="3" t="s">
        <v>106</v>
      </c>
    </row>
    <row r="70" ht="23" customHeight="1" spans="1:6" x14ac:dyDescent="0.25">
      <c r="A70" s="2" t="s">
        <v>54</v>
      </c>
      <c r="B70" s="8">
        <v>2026</v>
      </c>
      <c r="C70" s="2" t="s">
        <v>118</v>
      </c>
      <c r="D70" s="8">
        <v>81</v>
      </c>
      <c r="E70" s="2" t="s">
        <v>114</v>
      </c>
      <c r="F70" s="2" t="s">
        <v>106</v>
      </c>
    </row>
    <row r="71" ht="23" customHeight="1" spans="1:6" x14ac:dyDescent="0.25">
      <c r="A71" s="3" t="s">
        <v>55</v>
      </c>
      <c r="B71" s="9">
        <v>2026</v>
      </c>
      <c r="C71" s="3" t="s">
        <v>118</v>
      </c>
      <c r="D71" s="9">
        <v>82</v>
      </c>
      <c r="E71" s="3" t="s">
        <v>114</v>
      </c>
      <c r="F71" s="3" t="s">
        <v>106</v>
      </c>
    </row>
    <row r="72" ht="23" customHeight="1" spans="1:6" x14ac:dyDescent="0.25">
      <c r="A72" s="2" t="s">
        <v>56</v>
      </c>
      <c r="B72" s="8">
        <v>2026</v>
      </c>
      <c r="C72" s="2" t="s">
        <v>118</v>
      </c>
      <c r="D72" s="8">
        <v>83</v>
      </c>
      <c r="E72" s="2" t="s">
        <v>114</v>
      </c>
      <c r="F72" s="2" t="s">
        <v>106</v>
      </c>
    </row>
    <row r="73" ht="23" customHeight="1" spans="1:1" x14ac:dyDescent="0.25">
      <c r="A73" s="3" t="s">
        <v>119</v>
      </c>
    </row>
  </sheetData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Inputs</vt:lpstr>
      <vt:lpstr>Historical</vt:lpstr>
      <vt:lpstr>Sources &amp; uses</vt:lpstr>
      <vt:lpstr>Projection</vt:lpstr>
      <vt:lpstr>Returns</vt:lpstr>
      <vt:lpstr>Sensitivity</vt:lpstr>
      <vt:lpstr>Evidence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Buyout Radar</dc:creator>
  <dc:title/>
  <dc:subject/>
  <dc:description/>
  <cp:keywords/>
  <cp:category/>
  <cp:lastModifiedBy>Unknown</cp:lastModifiedBy>
  <dcterms:created xsi:type="dcterms:W3CDTF">2026-10-28T09:06:54Z</dcterms:created>
  <dcterms:modified xsi:type="dcterms:W3CDTF">2026-10-28T09:06:54Z</dcterms:modified>
</cp:coreProperties>
</file>